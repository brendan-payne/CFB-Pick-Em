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endanPayne\AI Projects\4th Annual Core 10 CFB Pick 'Em\"/>
    </mc:Choice>
  </mc:AlternateContent>
  <xr:revisionPtr revIDLastSave="0" documentId="8_{D88F5E72-9B08-47F2-B85B-373C50534F7E}" xr6:coauthVersionLast="47" xr6:coauthVersionMax="47" xr10:uidLastSave="{00000000-0000-0000-0000-000000000000}"/>
  <bookViews>
    <workbookView xWindow="-57720" yWindow="-120" windowWidth="29040" windowHeight="15720" activeTab="3" xr2:uid="{00000000-000D-0000-FFFF-FFFF00000000}"/>
  </bookViews>
  <sheets>
    <sheet name="Leaderboard" sheetId="2" r:id="rId1"/>
    <sheet name="Pre-Season Predictions" sheetId="3" r:id="rId2"/>
    <sheet name="Week 0" sheetId="4" r:id="rId3"/>
    <sheet name="Week 1" sheetId="1" r:id="rId4"/>
  </sheets>
  <definedNames>
    <definedName name="_xlnm._FilterDatabase" localSheetId="0" hidden="1">Leaderboard!$E$2:$AA$14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C10" i="4"/>
  <c r="C9" i="4"/>
  <c r="C8" i="4"/>
  <c r="C7" i="4"/>
  <c r="C6" i="4"/>
  <c r="C5" i="4"/>
  <c r="C4" i="4"/>
  <c r="C3" i="4"/>
  <c r="C2" i="4"/>
  <c r="H14" i="2"/>
  <c r="Y12" i="2"/>
  <c r="R11" i="2"/>
  <c r="N10" i="2"/>
  <c r="J9" i="2"/>
  <c r="F8" i="2"/>
  <c r="T6" i="2"/>
  <c r="P5" i="2"/>
  <c r="L4" i="2"/>
  <c r="H3" i="2"/>
  <c r="G14" i="2"/>
  <c r="U12" i="2"/>
  <c r="Q11" i="2"/>
  <c r="M10" i="2"/>
  <c r="I9" i="2"/>
  <c r="S6" i="2"/>
  <c r="O5" i="2"/>
  <c r="K4" i="2"/>
  <c r="G3" i="2"/>
  <c r="F14" i="2"/>
  <c r="T12" i="2"/>
  <c r="P11" i="2"/>
  <c r="L10" i="2"/>
  <c r="H9" i="2"/>
  <c r="Y7" i="2"/>
  <c r="R6" i="2"/>
  <c r="N5" i="2"/>
  <c r="J4" i="2"/>
  <c r="F3" i="2"/>
  <c r="U13" i="2"/>
  <c r="M11" i="2"/>
  <c r="O6" i="2"/>
  <c r="G4" i="2"/>
  <c r="T13" i="2"/>
  <c r="P12" i="2"/>
  <c r="L11" i="2"/>
  <c r="H10" i="2"/>
  <c r="Y8" i="2"/>
  <c r="N6" i="2"/>
  <c r="J5" i="2"/>
  <c r="F4" i="2"/>
  <c r="J13" i="2"/>
  <c r="T10" i="2"/>
  <c r="L8" i="2"/>
  <c r="Y5" i="2"/>
  <c r="Y11" i="2"/>
  <c r="L3" i="2"/>
  <c r="K14" i="2"/>
  <c r="I8" i="2"/>
  <c r="K3" i="2"/>
  <c r="T11" i="2"/>
  <c r="P10" i="2"/>
  <c r="L9" i="2"/>
  <c r="R5" i="2"/>
  <c r="J3" i="2"/>
  <c r="S11" i="2"/>
  <c r="K9" i="2"/>
  <c r="U6" i="2"/>
  <c r="I3" i="2"/>
  <c r="S12" i="2"/>
  <c r="O11" i="2"/>
  <c r="K10" i="2"/>
  <c r="G9" i="2"/>
  <c r="U7" i="2"/>
  <c r="Q6" i="2"/>
  <c r="M5" i="2"/>
  <c r="I4" i="2"/>
  <c r="Y13" i="2"/>
  <c r="R12" i="2"/>
  <c r="N11" i="2"/>
  <c r="J10" i="2"/>
  <c r="F9" i="2"/>
  <c r="T7" i="2"/>
  <c r="P6" i="2"/>
  <c r="L5" i="2"/>
  <c r="H4" i="2"/>
  <c r="Q12" i="2"/>
  <c r="I10" i="2"/>
  <c r="S7" i="2"/>
  <c r="K5" i="2"/>
  <c r="R7" i="2"/>
  <c r="N14" i="2"/>
  <c r="F12" i="2"/>
  <c r="P9" i="2"/>
  <c r="H7" i="2"/>
  <c r="R4" i="2"/>
  <c r="M14" i="2"/>
  <c r="O9" i="2"/>
  <c r="U5" i="2"/>
  <c r="M3" i="2"/>
  <c r="L14" i="2"/>
  <c r="R10" i="2"/>
  <c r="J8" i="2"/>
  <c r="T5" i="2"/>
  <c r="U11" i="2"/>
  <c r="M9" i="2"/>
  <c r="S5" i="2"/>
  <c r="J14" i="2"/>
  <c r="Y6" i="2"/>
  <c r="M4" i="2"/>
  <c r="S13" i="2"/>
  <c r="O12" i="2"/>
  <c r="K11" i="2"/>
  <c r="G10" i="2"/>
  <c r="U8" i="2"/>
  <c r="Q7" i="2"/>
  <c r="M6" i="2"/>
  <c r="I5" i="2"/>
  <c r="Y14" i="2"/>
  <c r="R13" i="2"/>
  <c r="N12" i="2"/>
  <c r="J11" i="2"/>
  <c r="F10" i="2"/>
  <c r="T8" i="2"/>
  <c r="P7" i="2"/>
  <c r="L6" i="2"/>
  <c r="H5" i="2"/>
  <c r="Y3" i="2"/>
  <c r="U14" i="2"/>
  <c r="Q13" i="2"/>
  <c r="M12" i="2"/>
  <c r="I11" i="2"/>
  <c r="S8" i="2"/>
  <c r="O7" i="2"/>
  <c r="K6" i="2"/>
  <c r="G5" i="2"/>
  <c r="U3" i="2"/>
  <c r="T14" i="2"/>
  <c r="P13" i="2"/>
  <c r="L12" i="2"/>
  <c r="H11" i="2"/>
  <c r="Y9" i="2"/>
  <c r="R8" i="2"/>
  <c r="N7" i="2"/>
  <c r="J6" i="2"/>
  <c r="F5" i="2"/>
  <c r="T3" i="2"/>
  <c r="S14" i="2"/>
  <c r="O13" i="2"/>
  <c r="K12" i="2"/>
  <c r="G11" i="2"/>
  <c r="U9" i="2"/>
  <c r="Q8" i="2"/>
  <c r="M7" i="2"/>
  <c r="I6" i="2"/>
  <c r="S3" i="2"/>
  <c r="R9" i="2"/>
  <c r="N8" i="2"/>
  <c r="J7" i="2"/>
  <c r="F6" i="2"/>
  <c r="T4" i="2"/>
  <c r="P3" i="2"/>
  <c r="O14" i="2"/>
  <c r="K13" i="2"/>
  <c r="G12" i="2"/>
  <c r="U10" i="2"/>
  <c r="Q9" i="2"/>
  <c r="M8" i="2"/>
  <c r="I7" i="2"/>
  <c r="S4" i="2"/>
  <c r="O3" i="2"/>
  <c r="N3" i="2"/>
  <c r="I13" i="2"/>
  <c r="S10" i="2"/>
  <c r="K8" i="2"/>
  <c r="G7" i="2"/>
  <c r="Q4" i="2"/>
  <c r="H13" i="2"/>
  <c r="N9" i="2"/>
  <c r="F7" i="2"/>
  <c r="P4" i="2"/>
  <c r="G13" i="2"/>
  <c r="Q10" i="2"/>
  <c r="O4" i="2"/>
  <c r="F13" i="2"/>
  <c r="H8" i="2"/>
  <c r="N4" i="2"/>
  <c r="I14" i="2"/>
  <c r="O10" i="2"/>
  <c r="G8" i="2"/>
  <c r="Q5" i="2"/>
  <c r="R14" i="2"/>
  <c r="N13" i="2"/>
  <c r="J12" i="2"/>
  <c r="F11" i="2"/>
  <c r="T9" i="2"/>
  <c r="P8" i="2"/>
  <c r="L7" i="2"/>
  <c r="H6" i="2"/>
  <c r="Y4" i="2"/>
  <c r="R3" i="2"/>
  <c r="Q14" i="2"/>
  <c r="M13" i="2"/>
  <c r="I12" i="2"/>
  <c r="S9" i="2"/>
  <c r="O8" i="2"/>
  <c r="K7" i="2"/>
  <c r="G6" i="2"/>
  <c r="U4" i="2"/>
  <c r="Q3" i="2"/>
  <c r="P14" i="2"/>
  <c r="L13" i="2"/>
  <c r="H12" i="2"/>
  <c r="Y10" i="2"/>
  <c r="AA11" i="2" l="1"/>
  <c r="AA13" i="2"/>
  <c r="AA7" i="2"/>
  <c r="AA6" i="2"/>
  <c r="AA5" i="2"/>
  <c r="AA10" i="2"/>
  <c r="AA12" i="2"/>
  <c r="AA9" i="2"/>
  <c r="AA4" i="2"/>
  <c r="AA3" i="2"/>
  <c r="AA14" i="2"/>
  <c r="AA8" i="2"/>
</calcChain>
</file>

<file path=xl/sharedStrings.xml><?xml version="1.0" encoding="utf-8"?>
<sst xmlns="http://schemas.openxmlformats.org/spreadsheetml/2006/main" count="519" uniqueCount="165">
  <si>
    <t>Timestamp</t>
  </si>
  <si>
    <t>Preseason Predictions</t>
  </si>
  <si>
    <t>Leaderboard</t>
  </si>
  <si>
    <t>Your Name</t>
  </si>
  <si>
    <t>Auburn vs. Baylor</t>
  </si>
  <si>
    <t xml:space="preserve">Auburn Regular Season Record </t>
  </si>
  <si>
    <t>Clemson @ LSU</t>
  </si>
  <si>
    <t>Big 10 Champion</t>
  </si>
  <si>
    <t>Item</t>
  </si>
  <si>
    <t>Washington St. @ Washington</t>
  </si>
  <si>
    <t>Big 12 Champion</t>
  </si>
  <si>
    <t>Point Value</t>
  </si>
  <si>
    <t>Wisconsin vs. Notre Dame</t>
  </si>
  <si>
    <t>ACC Champion</t>
  </si>
  <si>
    <t>Week 0</t>
  </si>
  <si>
    <t>Boston College @ Cincinnati</t>
  </si>
  <si>
    <t>SEC Champion</t>
  </si>
  <si>
    <t>Week 1</t>
  </si>
  <si>
    <t>Playoff Team 1</t>
  </si>
  <si>
    <t>Week 2</t>
  </si>
  <si>
    <t>Tulane @ Duke</t>
  </si>
  <si>
    <t>Week 3</t>
  </si>
  <si>
    <t>Playoff Team 2</t>
  </si>
  <si>
    <t>UCLA @ Cal</t>
  </si>
  <si>
    <t>Week 4</t>
  </si>
  <si>
    <t>Playoff Team 3</t>
  </si>
  <si>
    <t>Week 5</t>
  </si>
  <si>
    <t>Louisville vs. Ole Miss</t>
  </si>
  <si>
    <t>Week 6</t>
  </si>
  <si>
    <t>Playoff Team 4</t>
  </si>
  <si>
    <t>Week 7</t>
  </si>
  <si>
    <t>SMU @ Florida St.</t>
  </si>
  <si>
    <t>Playoff Team 5</t>
  </si>
  <si>
    <t>Oklahoma St @ Tulsa</t>
  </si>
  <si>
    <t>Week 8</t>
  </si>
  <si>
    <t>Playoff Team 6</t>
  </si>
  <si>
    <t>Week 9</t>
  </si>
  <si>
    <t>Week 10</t>
  </si>
  <si>
    <t>Playoff Team 7</t>
  </si>
  <si>
    <t>Week 11</t>
  </si>
  <si>
    <t>Playoff Team 8</t>
  </si>
  <si>
    <t>Week 12</t>
  </si>
  <si>
    <t>Week 13</t>
  </si>
  <si>
    <t>Playoff Team 9</t>
  </si>
  <si>
    <t>Week 14</t>
  </si>
  <si>
    <t>Micah Shelton</t>
  </si>
  <si>
    <t>Playoff Team 10</t>
  </si>
  <si>
    <t>Champ Week</t>
  </si>
  <si>
    <t>Total</t>
  </si>
  <si>
    <t>Auburn Record</t>
  </si>
  <si>
    <t>Playoff Team 11</t>
  </si>
  <si>
    <t>Auburn</t>
  </si>
  <si>
    <t>Conf. Champs</t>
  </si>
  <si>
    <t>Playoff Team 12</t>
  </si>
  <si>
    <t>Playoff Teams</t>
  </si>
  <si>
    <t>LSU</t>
  </si>
  <si>
    <t>UNC vs TCU</t>
  </si>
  <si>
    <t>CFP Pick'em</t>
  </si>
  <si>
    <t>National Champion</t>
  </si>
  <si>
    <t>Washington</t>
  </si>
  <si>
    <t>San Jose State @ USC</t>
  </si>
  <si>
    <t>National Chamption</t>
  </si>
  <si>
    <t>Notre Dame</t>
  </si>
  <si>
    <t>NC State @ Virginia</t>
  </si>
  <si>
    <t>Cincinnati</t>
  </si>
  <si>
    <t>Auburn Regular Season Record</t>
  </si>
  <si>
    <t>Max</t>
  </si>
  <si>
    <t>Jacksonville State @ North Dakota State</t>
  </si>
  <si>
    <t>Mark</t>
  </si>
  <si>
    <t>Tulane</t>
  </si>
  <si>
    <t>7-5</t>
  </si>
  <si>
    <t>Sacramento State @ Eastern Michigan</t>
  </si>
  <si>
    <t>Cal</t>
  </si>
  <si>
    <t>Ohio State</t>
  </si>
  <si>
    <t>Ole Miss</t>
  </si>
  <si>
    <t>Hawaii @ Stanford</t>
  </si>
  <si>
    <t>Texas Tech</t>
  </si>
  <si>
    <t>SMU</t>
  </si>
  <si>
    <t>Miami</t>
  </si>
  <si>
    <t>Oklahoma St</t>
  </si>
  <si>
    <t>New Mexico State @ Florida State</t>
  </si>
  <si>
    <t>Texas</t>
  </si>
  <si>
    <t>Memphis @ UNLV</t>
  </si>
  <si>
    <t xml:space="preserve">Ohio State </t>
  </si>
  <si>
    <t>Mason Williams</t>
  </si>
  <si>
    <t>Georgia</t>
  </si>
  <si>
    <t>Indiana</t>
  </si>
  <si>
    <t xml:space="preserve">Notre Dame </t>
  </si>
  <si>
    <t>Duke</t>
  </si>
  <si>
    <t>Oregon</t>
  </si>
  <si>
    <t>Boise State</t>
  </si>
  <si>
    <t>USC</t>
  </si>
  <si>
    <t>Texas A&amp;M</t>
  </si>
  <si>
    <t>Murphy Garner</t>
  </si>
  <si>
    <t>6-6</t>
  </si>
  <si>
    <t xml:space="preserve">Texas Tech </t>
  </si>
  <si>
    <t>TCU</t>
  </si>
  <si>
    <t>Virginia</t>
  </si>
  <si>
    <t>North Dakota State</t>
  </si>
  <si>
    <t>Eastern Michigan</t>
  </si>
  <si>
    <t>Hawaii</t>
  </si>
  <si>
    <t>Florida State</t>
  </si>
  <si>
    <t>UNLV</t>
  </si>
  <si>
    <t>Oklahoma</t>
  </si>
  <si>
    <t>JMU</t>
  </si>
  <si>
    <t>UCLA</t>
  </si>
  <si>
    <t>Jacob Walker</t>
  </si>
  <si>
    <t>Buck Ralston</t>
  </si>
  <si>
    <t>5-7</t>
  </si>
  <si>
    <t>Michigan State</t>
  </si>
  <si>
    <t>Mark McManus</t>
  </si>
  <si>
    <t>Alabama</t>
  </si>
  <si>
    <t>Stanford</t>
  </si>
  <si>
    <t>Power 4 Champions</t>
  </si>
  <si>
    <t>Micah</t>
  </si>
  <si>
    <t xml:space="preserve">Miami </t>
  </si>
  <si>
    <t>Bama</t>
  </si>
  <si>
    <t>Weston Akin</t>
  </si>
  <si>
    <t>Playoff Team</t>
  </si>
  <si>
    <t>NC State</t>
  </si>
  <si>
    <t>Penn State</t>
  </si>
  <si>
    <t>Brendan</t>
  </si>
  <si>
    <t>Nathan</t>
  </si>
  <si>
    <t>Memphis</t>
  </si>
  <si>
    <t>Jacksonville State</t>
  </si>
  <si>
    <t>Murph</t>
  </si>
  <si>
    <t>BYU</t>
  </si>
  <si>
    <t>UGA</t>
  </si>
  <si>
    <t>Ohio state</t>
  </si>
  <si>
    <t>Weekly Picks</t>
  </si>
  <si>
    <t>Jacob</t>
  </si>
  <si>
    <t>New Mexico</t>
  </si>
  <si>
    <t>miami</t>
  </si>
  <si>
    <t>Weston</t>
  </si>
  <si>
    <t xml:space="preserve">Texas tech </t>
  </si>
  <si>
    <t>Sacramento State</t>
  </si>
  <si>
    <t xml:space="preserve">Georgia </t>
  </si>
  <si>
    <t xml:space="preserve">Ohio state </t>
  </si>
  <si>
    <t>Notre dame</t>
  </si>
  <si>
    <t xml:space="preserve">Indiana </t>
  </si>
  <si>
    <t xml:space="preserve">Oklahoma </t>
  </si>
  <si>
    <t>Auburn Game</t>
  </si>
  <si>
    <t xml:space="preserve">LSU </t>
  </si>
  <si>
    <t>Will</t>
  </si>
  <si>
    <t xml:space="preserve">Ole miss </t>
  </si>
  <si>
    <t>Michigan</t>
  </si>
  <si>
    <t>Charlie</t>
  </si>
  <si>
    <t>Games of the Week</t>
  </si>
  <si>
    <t>Mason</t>
  </si>
  <si>
    <t>Texas tech</t>
  </si>
  <si>
    <t>Results</t>
  </si>
  <si>
    <t>Post Season Picks</t>
  </si>
  <si>
    <t>UNC</t>
  </si>
  <si>
    <t>Penn state</t>
  </si>
  <si>
    <t>Buck</t>
  </si>
  <si>
    <t>Troy</t>
  </si>
  <si>
    <t xml:space="preserve">Oregon </t>
  </si>
  <si>
    <t>8-4</t>
  </si>
  <si>
    <t xml:space="preserve">BYU </t>
  </si>
  <si>
    <t>Playoff - First Round</t>
  </si>
  <si>
    <t>Playoff - Quarter Finals</t>
  </si>
  <si>
    <t>Playoff - Semi-Finals</t>
  </si>
  <si>
    <t>Playoff - Championship</t>
  </si>
  <si>
    <t>Houston</t>
  </si>
  <si>
    <t xml:space="preserve">Virginia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</si>
</sst>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quotePrefix="1" applyFont="1" applyAlignment="1">
      <alignment vertical="center"/>
    </xf>
    <xf numFmtId="0" fontId="2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1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6">
    <tableStyle name="Leaderboard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Week 1-style" pivot="0" count="4" xr9:uid="{00000000-0011-0000-FFFF-FFFF01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Pre-Season Predictions-style" pivot="0" count="4" xr9:uid="{00000000-0011-0000-FFFF-FFFF02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Leaderboard-style 2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Leaderboard-style 3" pivot="0" count="3" xr9:uid="{00000000-0011-0000-FFFF-FFFF04000000}">
      <tableStyleElement type="headerRow" dxfId="6"/>
      <tableStyleElement type="firstRowStripe" dxfId="5"/>
      <tableStyleElement type="secondRowStripe" dxfId="4"/>
    </tableStyle>
    <tableStyle name="Week 0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2:B6">
  <tableColumns count="2">
    <tableColumn id="1" xr3:uid="{00000000-0010-0000-0100-000001000000}" name="Item"/>
    <tableColumn id="2" xr3:uid="{00000000-0010-0000-0100-000002000000}" name="Point Value"/>
  </tableColumns>
  <tableStyleInfo name="Leader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_2" displayName="Table_2" ref="A9:B11">
  <tableColumns count="2">
    <tableColumn id="1" xr3:uid="{00000000-0010-0000-0200-000001000000}" name="Item"/>
    <tableColumn id="2" xr3:uid="{00000000-0010-0000-0200-000002000000}" name="Point Value"/>
  </tableColumns>
  <tableStyleInfo name="Leaderboar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_3" displayName="Table_3" ref="A14:B19">
  <tableColumns count="2">
    <tableColumn id="1" xr3:uid="{00000000-0010-0000-0300-000001000000}" name="Item"/>
    <tableColumn id="2" xr3:uid="{00000000-0010-0000-0300-000002000000}" name="Point Value"/>
  </tableColumns>
  <tableStyleInfo name="Leaderboar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Form_Responses" displayName="Form_Responses" ref="A1:T13">
  <tableColumns count="20">
    <tableColumn id="1" xr3:uid="{00000000-0010-0000-0400-000001000000}" name="Timestamp"/>
    <tableColumn id="2" xr3:uid="{00000000-0010-0000-0400-000002000000}" name="Your Name"/>
    <tableColumn id="3" xr3:uid="{00000000-0010-0000-0400-000003000000}" name="Auburn Regular Season Record "/>
    <tableColumn id="4" xr3:uid="{00000000-0010-0000-0400-000004000000}" name="Big 10 Champion"/>
    <tableColumn id="5" xr3:uid="{00000000-0010-0000-0400-000005000000}" name="Big 12 Champion"/>
    <tableColumn id="6" xr3:uid="{00000000-0010-0000-0400-000006000000}" name="ACC Champion"/>
    <tableColumn id="7" xr3:uid="{00000000-0010-0000-0400-000007000000}" name="SEC Champion"/>
    <tableColumn id="8" xr3:uid="{00000000-0010-0000-0400-000008000000}" name="Playoff Team 1"/>
    <tableColumn id="9" xr3:uid="{00000000-0010-0000-0400-000009000000}" name="Playoff Team 2"/>
    <tableColumn id="10" xr3:uid="{00000000-0010-0000-0400-00000A000000}" name="Playoff Team 3"/>
    <tableColumn id="11" xr3:uid="{00000000-0010-0000-0400-00000B000000}" name="Playoff Team 4"/>
    <tableColumn id="12" xr3:uid="{00000000-0010-0000-0400-00000C000000}" name="Playoff Team 5"/>
    <tableColumn id="13" xr3:uid="{00000000-0010-0000-0400-00000D000000}" name="Playoff Team 6"/>
    <tableColumn id="14" xr3:uid="{00000000-0010-0000-0400-00000E000000}" name="Playoff Team 7"/>
    <tableColumn id="15" xr3:uid="{00000000-0010-0000-0400-00000F000000}" name="Playoff Team 8"/>
    <tableColumn id="16" xr3:uid="{00000000-0010-0000-0400-000010000000}" name="Playoff Team 9"/>
    <tableColumn id="17" xr3:uid="{00000000-0010-0000-0400-000011000000}" name="Playoff Team 10"/>
    <tableColumn id="18" xr3:uid="{00000000-0010-0000-0400-000012000000}" name="Playoff Team 11"/>
    <tableColumn id="19" xr3:uid="{00000000-0010-0000-0400-000013000000}" name="Playoff Team 12"/>
    <tableColumn id="20" xr3:uid="{00000000-0010-0000-0400-000014000000}" name="National Champion"/>
  </tableColumns>
  <tableStyleInfo name="Pre-Season Predictio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Form_Responses2" displayName="Form_Responses2" ref="A1:K14">
  <tableColumns count="11">
    <tableColumn id="1" xr3:uid="{00000000-0010-0000-0500-000001000000}" name="Timestamp"/>
    <tableColumn id="2" xr3:uid="{00000000-0010-0000-0500-000002000000}" name="Your Name"/>
    <tableColumn id="3" xr3:uid="{00000000-0010-0000-0500-000003000000}" name="Total"/>
    <tableColumn id="4" xr3:uid="{00000000-0010-0000-0500-000004000000}" name="UNC vs TCU"/>
    <tableColumn id="5" xr3:uid="{00000000-0010-0000-0500-000005000000}" name="San Jose State @ USC"/>
    <tableColumn id="6" xr3:uid="{00000000-0010-0000-0500-000006000000}" name="NC State @ Virginia"/>
    <tableColumn id="7" xr3:uid="{00000000-0010-0000-0500-000007000000}" name="Jacksonville State @ North Dakota State"/>
    <tableColumn id="8" xr3:uid="{00000000-0010-0000-0500-000008000000}" name="Sacramento State @ Eastern Michigan"/>
    <tableColumn id="9" xr3:uid="{00000000-0010-0000-0500-000009000000}" name="Hawaii @ Stanford"/>
    <tableColumn id="10" xr3:uid="{00000000-0010-0000-0500-00000A000000}" name="New Mexico State @ Florida State"/>
    <tableColumn id="11" xr3:uid="{00000000-0010-0000-0500-00000B000000}" name="Memphis @ UNLV"/>
  </tableColumns>
  <tableStyleInfo name="Week 0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3" displayName="Form_Responses3" ref="A1:L8">
  <tableColumns count="12">
    <tableColumn id="1" xr3:uid="{00000000-0010-0000-0000-000001000000}" name="Timestamp"/>
    <tableColumn id="2" xr3:uid="{00000000-0010-0000-0000-000002000000}" name="Your Name"/>
    <tableColumn id="3" xr3:uid="{00000000-0010-0000-0000-000003000000}" name="Auburn vs. Baylor"/>
    <tableColumn id="4" xr3:uid="{00000000-0010-0000-0000-000004000000}" name="Clemson @ LSU"/>
    <tableColumn id="5" xr3:uid="{00000000-0010-0000-0000-000005000000}" name="Washington St. @ Washington"/>
    <tableColumn id="6" xr3:uid="{00000000-0010-0000-0000-000006000000}" name="Wisconsin vs. Notre Dame"/>
    <tableColumn id="7" xr3:uid="{00000000-0010-0000-0000-000007000000}" name="Boston College @ Cincinnati"/>
    <tableColumn id="8" xr3:uid="{00000000-0010-0000-0000-000008000000}" name="Tulane @ Duke"/>
    <tableColumn id="9" xr3:uid="{00000000-0010-0000-0000-000009000000}" name="UCLA @ Cal"/>
    <tableColumn id="10" xr3:uid="{00000000-0010-0000-0000-00000A000000}" name="Louisville vs. Ole Miss"/>
    <tableColumn id="11" xr3:uid="{00000000-0010-0000-0000-00000B000000}" name="SMU @ Florida St."/>
    <tableColumn id="12" xr3:uid="{00000000-0010-0000-0000-00000C000000}" name="Oklahoma St @ Tulsa"/>
  </tableColumns>
  <tableStyleInfo name="Week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9"/>
  <sheetViews>
    <sheetView workbookViewId="0"/>
  </sheetViews>
  <sheetFormatPr defaultColWidth="12.5703125" defaultRowHeight="15.75" customHeight="1" x14ac:dyDescent="0.2"/>
  <cols>
    <col min="1" max="1" width="25.28515625" customWidth="1"/>
    <col min="7" max="20" width="12.5703125" hidden="1"/>
    <col min="21" max="21" width="14.140625" hidden="1" customWidth="1"/>
    <col min="22" max="22" width="16.7109375" hidden="1" customWidth="1"/>
    <col min="23" max="26" width="14.140625" hidden="1" customWidth="1"/>
  </cols>
  <sheetData>
    <row r="1" spans="1:27" x14ac:dyDescent="0.2">
      <c r="A1" s="11" t="s">
        <v>1</v>
      </c>
      <c r="B1" s="12"/>
      <c r="E1" s="11" t="s">
        <v>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x14ac:dyDescent="0.2">
      <c r="A2" s="3" t="s">
        <v>8</v>
      </c>
      <c r="B2" s="3" t="s">
        <v>11</v>
      </c>
      <c r="E2" s="1"/>
      <c r="F2" s="1" t="s">
        <v>14</v>
      </c>
      <c r="G2" s="1" t="s">
        <v>17</v>
      </c>
      <c r="H2" s="1" t="s">
        <v>19</v>
      </c>
      <c r="I2" s="1" t="s">
        <v>21</v>
      </c>
      <c r="J2" s="1" t="s">
        <v>24</v>
      </c>
      <c r="K2" s="1" t="s">
        <v>26</v>
      </c>
      <c r="L2" s="1" t="s">
        <v>28</v>
      </c>
      <c r="M2" s="1" t="s">
        <v>30</v>
      </c>
      <c r="N2" s="1" t="s">
        <v>34</v>
      </c>
      <c r="O2" s="1" t="s">
        <v>36</v>
      </c>
      <c r="P2" s="1" t="s">
        <v>37</v>
      </c>
      <c r="Q2" s="1" t="s">
        <v>39</v>
      </c>
      <c r="R2" s="1" t="s">
        <v>41</v>
      </c>
      <c r="S2" s="1" t="s">
        <v>42</v>
      </c>
      <c r="T2" s="1" t="s">
        <v>44</v>
      </c>
      <c r="U2" s="1" t="s">
        <v>47</v>
      </c>
      <c r="V2" s="1" t="s">
        <v>49</v>
      </c>
      <c r="W2" s="1" t="s">
        <v>52</v>
      </c>
      <c r="X2" s="1" t="s">
        <v>54</v>
      </c>
      <c r="Y2" s="6" t="s">
        <v>57</v>
      </c>
      <c r="Z2" s="6" t="s">
        <v>61</v>
      </c>
      <c r="AA2" s="1" t="s">
        <v>48</v>
      </c>
    </row>
    <row r="3" spans="1:27" x14ac:dyDescent="0.2">
      <c r="A3" s="7" t="s">
        <v>65</v>
      </c>
      <c r="B3" s="7">
        <v>50</v>
      </c>
      <c r="E3" s="8" t="s">
        <v>68</v>
      </c>
      <c r="F3" s="8">
        <f t="shared" ref="F3:U3" ca="1" si="0">IFERROR(VLOOKUP("*"&amp;$E3&amp;"*", INDIRECT("'"&amp;F$2&amp;"'!B:C"), 2, FALSE),0)</f>
        <v>35</v>
      </c>
      <c r="G3" s="8" t="str">
        <f t="shared" ca="1" si="0"/>
        <v>Auburn</v>
      </c>
      <c r="H3" s="8">
        <f t="shared" ca="1" si="0"/>
        <v>0</v>
      </c>
      <c r="I3" s="8">
        <f t="shared" ca="1" si="0"/>
        <v>0</v>
      </c>
      <c r="J3" s="8">
        <f t="shared" ca="1" si="0"/>
        <v>0</v>
      </c>
      <c r="K3" s="8">
        <f t="shared" ca="1" si="0"/>
        <v>0</v>
      </c>
      <c r="L3" s="8">
        <f t="shared" ca="1" si="0"/>
        <v>0</v>
      </c>
      <c r="M3" s="8">
        <f t="shared" ca="1" si="0"/>
        <v>0</v>
      </c>
      <c r="N3" s="8">
        <f t="shared" ca="1" si="0"/>
        <v>0</v>
      </c>
      <c r="O3" s="8">
        <f t="shared" ca="1" si="0"/>
        <v>0</v>
      </c>
      <c r="P3" s="8">
        <f t="shared" ca="1" si="0"/>
        <v>0</v>
      </c>
      <c r="Q3" s="8">
        <f t="shared" ca="1" si="0"/>
        <v>0</v>
      </c>
      <c r="R3" s="8">
        <f t="shared" ca="1" si="0"/>
        <v>0</v>
      </c>
      <c r="S3" s="8">
        <f t="shared" ca="1" si="0"/>
        <v>0</v>
      </c>
      <c r="T3" s="8">
        <f t="shared" ca="1" si="0"/>
        <v>0</v>
      </c>
      <c r="U3" s="8">
        <f t="shared" ca="1" si="0"/>
        <v>0</v>
      </c>
      <c r="V3" s="8">
        <v>0</v>
      </c>
      <c r="W3" s="8">
        <v>0</v>
      </c>
      <c r="X3" s="8">
        <v>0</v>
      </c>
      <c r="Y3" s="8">
        <f t="shared" ref="Y3:Y14" ca="1" si="1">IFERROR(VLOOKUP("*"&amp;$E3&amp;"*", INDIRECT("'"&amp;U$2&amp;"'!B:C"), 2, FALSE),0)</f>
        <v>0</v>
      </c>
      <c r="Z3" s="8">
        <v>0</v>
      </c>
      <c r="AA3" s="8">
        <f t="shared" ref="AA3:AA14" ca="1" si="2">SUM(F3:Y3)</f>
        <v>35</v>
      </c>
    </row>
    <row r="4" spans="1:27" x14ac:dyDescent="0.2">
      <c r="A4" s="7" t="s">
        <v>113</v>
      </c>
      <c r="B4" s="7">
        <v>10</v>
      </c>
      <c r="E4" s="10" t="s">
        <v>114</v>
      </c>
      <c r="F4" s="10">
        <f t="shared" ref="F4:U4" ca="1" si="3">IFERROR(VLOOKUP("*"&amp;$E4&amp;"*", INDIRECT("'"&amp;F$2&amp;"'!B:C"), 2, FALSE),0)</f>
        <v>35</v>
      </c>
      <c r="G4" s="10" t="str">
        <f t="shared" ca="1" si="3"/>
        <v>Auburn</v>
      </c>
      <c r="H4" s="10">
        <f t="shared" ca="1" si="3"/>
        <v>0</v>
      </c>
      <c r="I4" s="10">
        <f t="shared" ca="1" si="3"/>
        <v>0</v>
      </c>
      <c r="J4" s="10">
        <f t="shared" ca="1" si="3"/>
        <v>0</v>
      </c>
      <c r="K4" s="10">
        <f t="shared" ca="1" si="3"/>
        <v>0</v>
      </c>
      <c r="L4" s="10">
        <f t="shared" ca="1" si="3"/>
        <v>0</v>
      </c>
      <c r="M4" s="10">
        <f t="shared" ca="1" si="3"/>
        <v>0</v>
      </c>
      <c r="N4" s="10">
        <f t="shared" ca="1" si="3"/>
        <v>0</v>
      </c>
      <c r="O4" s="10">
        <f t="shared" ca="1" si="3"/>
        <v>0</v>
      </c>
      <c r="P4" s="10">
        <f t="shared" ca="1" si="3"/>
        <v>0</v>
      </c>
      <c r="Q4" s="10">
        <f t="shared" ca="1" si="3"/>
        <v>0</v>
      </c>
      <c r="R4" s="10">
        <f t="shared" ca="1" si="3"/>
        <v>0</v>
      </c>
      <c r="S4" s="10">
        <f t="shared" ca="1" si="3"/>
        <v>0</v>
      </c>
      <c r="T4" s="10">
        <f t="shared" ca="1" si="3"/>
        <v>0</v>
      </c>
      <c r="U4" s="10">
        <f t="shared" ca="1" si="3"/>
        <v>0</v>
      </c>
      <c r="V4" s="10">
        <v>0</v>
      </c>
      <c r="W4" s="10">
        <v>0</v>
      </c>
      <c r="X4" s="10">
        <v>0</v>
      </c>
      <c r="Y4" s="10">
        <f t="shared" ca="1" si="1"/>
        <v>0</v>
      </c>
      <c r="Z4" s="10">
        <v>0</v>
      </c>
      <c r="AA4" s="10">
        <f t="shared" ca="1" si="2"/>
        <v>35</v>
      </c>
    </row>
    <row r="5" spans="1:27" x14ac:dyDescent="0.2">
      <c r="A5" s="7" t="s">
        <v>118</v>
      </c>
      <c r="B5" s="7">
        <v>10</v>
      </c>
      <c r="E5" s="8" t="s">
        <v>66</v>
      </c>
      <c r="F5" s="8">
        <f t="shared" ref="F5:U5" ca="1" si="4">IFERROR(VLOOKUP("*"&amp;$E5&amp;"*", INDIRECT("'"&amp;F$2&amp;"'!B:C"), 2, FALSE),0)</f>
        <v>35</v>
      </c>
      <c r="G5" s="8" t="str">
        <f t="shared" ca="1" si="4"/>
        <v>Auburn</v>
      </c>
      <c r="H5" s="8">
        <f t="shared" ca="1" si="4"/>
        <v>0</v>
      </c>
      <c r="I5" s="8">
        <f t="shared" ca="1" si="4"/>
        <v>0</v>
      </c>
      <c r="J5" s="8">
        <f t="shared" ca="1" si="4"/>
        <v>0</v>
      </c>
      <c r="K5" s="8">
        <f t="shared" ca="1" si="4"/>
        <v>0</v>
      </c>
      <c r="L5" s="8">
        <f t="shared" ca="1" si="4"/>
        <v>0</v>
      </c>
      <c r="M5" s="8">
        <f t="shared" ca="1" si="4"/>
        <v>0</v>
      </c>
      <c r="N5" s="8">
        <f t="shared" ca="1" si="4"/>
        <v>0</v>
      </c>
      <c r="O5" s="8">
        <f t="shared" ca="1" si="4"/>
        <v>0</v>
      </c>
      <c r="P5" s="8">
        <f t="shared" ca="1" si="4"/>
        <v>0</v>
      </c>
      <c r="Q5" s="8">
        <f t="shared" ca="1" si="4"/>
        <v>0</v>
      </c>
      <c r="R5" s="8">
        <f t="shared" ca="1" si="4"/>
        <v>0</v>
      </c>
      <c r="S5" s="8">
        <f t="shared" ca="1" si="4"/>
        <v>0</v>
      </c>
      <c r="T5" s="8">
        <f t="shared" ca="1" si="4"/>
        <v>0</v>
      </c>
      <c r="U5" s="8">
        <f t="shared" ca="1" si="4"/>
        <v>0</v>
      </c>
      <c r="V5" s="8">
        <v>0</v>
      </c>
      <c r="W5" s="8">
        <v>0</v>
      </c>
      <c r="X5" s="8">
        <v>0</v>
      </c>
      <c r="Y5" s="8">
        <f t="shared" ca="1" si="1"/>
        <v>0</v>
      </c>
      <c r="Z5" s="8">
        <v>0</v>
      </c>
      <c r="AA5" s="8">
        <f t="shared" ca="1" si="2"/>
        <v>35</v>
      </c>
    </row>
    <row r="6" spans="1:27" x14ac:dyDescent="0.2">
      <c r="A6" s="7" t="s">
        <v>58</v>
      </c>
      <c r="B6" s="7">
        <v>50</v>
      </c>
      <c r="E6" s="10" t="s">
        <v>121</v>
      </c>
      <c r="F6" s="10">
        <f t="shared" ref="F6:U6" ca="1" si="5">IFERROR(VLOOKUP("*"&amp;$E6&amp;"*", INDIRECT("'"&amp;F$2&amp;"'!B:C"), 2, FALSE),0)</f>
        <v>35</v>
      </c>
      <c r="G6" s="10">
        <f t="shared" ca="1" si="5"/>
        <v>0</v>
      </c>
      <c r="H6" s="10">
        <f t="shared" ca="1" si="5"/>
        <v>0</v>
      </c>
      <c r="I6" s="10">
        <f t="shared" ca="1" si="5"/>
        <v>0</v>
      </c>
      <c r="J6" s="10">
        <f t="shared" ca="1" si="5"/>
        <v>0</v>
      </c>
      <c r="K6" s="10">
        <f t="shared" ca="1" si="5"/>
        <v>0</v>
      </c>
      <c r="L6" s="10">
        <f t="shared" ca="1" si="5"/>
        <v>0</v>
      </c>
      <c r="M6" s="10">
        <f t="shared" ca="1" si="5"/>
        <v>0</v>
      </c>
      <c r="N6" s="10">
        <f t="shared" ca="1" si="5"/>
        <v>0</v>
      </c>
      <c r="O6" s="10">
        <f t="shared" ca="1" si="5"/>
        <v>0</v>
      </c>
      <c r="P6" s="10">
        <f t="shared" ca="1" si="5"/>
        <v>0</v>
      </c>
      <c r="Q6" s="10">
        <f t="shared" ca="1" si="5"/>
        <v>0</v>
      </c>
      <c r="R6" s="10">
        <f t="shared" ca="1" si="5"/>
        <v>0</v>
      </c>
      <c r="S6" s="10">
        <f t="shared" ca="1" si="5"/>
        <v>0</v>
      </c>
      <c r="T6" s="10">
        <f t="shared" ca="1" si="5"/>
        <v>0</v>
      </c>
      <c r="U6" s="10">
        <f t="shared" ca="1" si="5"/>
        <v>0</v>
      </c>
      <c r="V6" s="10">
        <v>0</v>
      </c>
      <c r="W6" s="10">
        <v>0</v>
      </c>
      <c r="X6" s="10">
        <v>0</v>
      </c>
      <c r="Y6" s="10">
        <f t="shared" ca="1" si="1"/>
        <v>0</v>
      </c>
      <c r="Z6" s="10">
        <v>0</v>
      </c>
      <c r="AA6" s="10">
        <f t="shared" ca="1" si="2"/>
        <v>35</v>
      </c>
    </row>
    <row r="7" spans="1:27" x14ac:dyDescent="0.2">
      <c r="E7" s="8" t="s">
        <v>125</v>
      </c>
      <c r="F7" s="8">
        <f t="shared" ref="F7:U7" ca="1" si="6">IFERROR(VLOOKUP("*"&amp;$E7&amp;"*", INDIRECT("'"&amp;F$2&amp;"'!B:C"), 2, FALSE),0)</f>
        <v>35</v>
      </c>
      <c r="G7" s="8" t="str">
        <f t="shared" ca="1" si="6"/>
        <v>Auburn</v>
      </c>
      <c r="H7" s="8">
        <f t="shared" ca="1" si="6"/>
        <v>0</v>
      </c>
      <c r="I7" s="8">
        <f t="shared" ca="1" si="6"/>
        <v>0</v>
      </c>
      <c r="J7" s="8">
        <f t="shared" ca="1" si="6"/>
        <v>0</v>
      </c>
      <c r="K7" s="8">
        <f t="shared" ca="1" si="6"/>
        <v>0</v>
      </c>
      <c r="L7" s="8">
        <f t="shared" ca="1" si="6"/>
        <v>0</v>
      </c>
      <c r="M7" s="8">
        <f t="shared" ca="1" si="6"/>
        <v>0</v>
      </c>
      <c r="N7" s="8">
        <f t="shared" ca="1" si="6"/>
        <v>0</v>
      </c>
      <c r="O7" s="8">
        <f t="shared" ca="1" si="6"/>
        <v>0</v>
      </c>
      <c r="P7" s="8">
        <f t="shared" ca="1" si="6"/>
        <v>0</v>
      </c>
      <c r="Q7" s="8">
        <f t="shared" ca="1" si="6"/>
        <v>0</v>
      </c>
      <c r="R7" s="8">
        <f t="shared" ca="1" si="6"/>
        <v>0</v>
      </c>
      <c r="S7" s="8">
        <f t="shared" ca="1" si="6"/>
        <v>0</v>
      </c>
      <c r="T7" s="8">
        <f t="shared" ca="1" si="6"/>
        <v>0</v>
      </c>
      <c r="U7" s="8">
        <f t="shared" ca="1" si="6"/>
        <v>0</v>
      </c>
      <c r="V7" s="8">
        <v>0</v>
      </c>
      <c r="W7" s="8">
        <v>0</v>
      </c>
      <c r="X7" s="8">
        <v>0</v>
      </c>
      <c r="Y7" s="8">
        <f t="shared" ca="1" si="1"/>
        <v>0</v>
      </c>
      <c r="Z7" s="8">
        <v>0</v>
      </c>
      <c r="AA7" s="8">
        <f t="shared" ca="1" si="2"/>
        <v>35</v>
      </c>
    </row>
    <row r="8" spans="1:27" x14ac:dyDescent="0.2">
      <c r="A8" s="11" t="s">
        <v>129</v>
      </c>
      <c r="B8" s="12"/>
      <c r="E8" s="10" t="s">
        <v>130</v>
      </c>
      <c r="F8" s="10">
        <f t="shared" ref="F8:U8" ca="1" si="7">IFERROR(VLOOKUP("*"&amp;$E8&amp;"*", INDIRECT("'"&amp;F$2&amp;"'!B:C"), 2, FALSE),0)</f>
        <v>35</v>
      </c>
      <c r="G8" s="10" t="str">
        <f t="shared" ca="1" si="7"/>
        <v>Auburn</v>
      </c>
      <c r="H8" s="10">
        <f t="shared" ca="1" si="7"/>
        <v>0</v>
      </c>
      <c r="I8" s="10">
        <f t="shared" ca="1" si="7"/>
        <v>0</v>
      </c>
      <c r="J8" s="10">
        <f t="shared" ca="1" si="7"/>
        <v>0</v>
      </c>
      <c r="K8" s="10">
        <f t="shared" ca="1" si="7"/>
        <v>0</v>
      </c>
      <c r="L8" s="10">
        <f t="shared" ca="1" si="7"/>
        <v>0</v>
      </c>
      <c r="M8" s="10">
        <f t="shared" ca="1" si="7"/>
        <v>0</v>
      </c>
      <c r="N8" s="10">
        <f t="shared" ca="1" si="7"/>
        <v>0</v>
      </c>
      <c r="O8" s="10">
        <f t="shared" ca="1" si="7"/>
        <v>0</v>
      </c>
      <c r="P8" s="10">
        <f t="shared" ca="1" si="7"/>
        <v>0</v>
      </c>
      <c r="Q8" s="10">
        <f t="shared" ca="1" si="7"/>
        <v>0</v>
      </c>
      <c r="R8" s="10">
        <f t="shared" ca="1" si="7"/>
        <v>0</v>
      </c>
      <c r="S8" s="10">
        <f t="shared" ca="1" si="7"/>
        <v>0</v>
      </c>
      <c r="T8" s="10">
        <f t="shared" ca="1" si="7"/>
        <v>0</v>
      </c>
      <c r="U8" s="10">
        <f t="shared" ca="1" si="7"/>
        <v>0</v>
      </c>
      <c r="V8" s="10">
        <v>0</v>
      </c>
      <c r="W8" s="10">
        <v>0</v>
      </c>
      <c r="X8" s="10">
        <v>0</v>
      </c>
      <c r="Y8" s="10">
        <f t="shared" ca="1" si="1"/>
        <v>0</v>
      </c>
      <c r="Z8" s="10">
        <v>0</v>
      </c>
      <c r="AA8" s="10">
        <f t="shared" ca="1" si="2"/>
        <v>35</v>
      </c>
    </row>
    <row r="9" spans="1:27" x14ac:dyDescent="0.2">
      <c r="A9" s="3" t="s">
        <v>8</v>
      </c>
      <c r="B9" s="3" t="s">
        <v>11</v>
      </c>
      <c r="E9" s="8" t="s">
        <v>133</v>
      </c>
      <c r="F9" s="8">
        <f t="shared" ref="F9:U9" ca="1" si="8">IFERROR(VLOOKUP("*"&amp;$E9&amp;"*", INDIRECT("'"&amp;F$2&amp;"'!B:C"), 2, FALSE),0)</f>
        <v>30</v>
      </c>
      <c r="G9" s="8" t="str">
        <f t="shared" ca="1" si="8"/>
        <v>Auburn</v>
      </c>
      <c r="H9" s="8">
        <f t="shared" ca="1" si="8"/>
        <v>0</v>
      </c>
      <c r="I9" s="8">
        <f t="shared" ca="1" si="8"/>
        <v>0</v>
      </c>
      <c r="J9" s="8">
        <f t="shared" ca="1" si="8"/>
        <v>0</v>
      </c>
      <c r="K9" s="8">
        <f t="shared" ca="1" si="8"/>
        <v>0</v>
      </c>
      <c r="L9" s="8">
        <f t="shared" ca="1" si="8"/>
        <v>0</v>
      </c>
      <c r="M9" s="8">
        <f t="shared" ca="1" si="8"/>
        <v>0</v>
      </c>
      <c r="N9" s="8">
        <f t="shared" ca="1" si="8"/>
        <v>0</v>
      </c>
      <c r="O9" s="8">
        <f t="shared" ca="1" si="8"/>
        <v>0</v>
      </c>
      <c r="P9" s="8">
        <f t="shared" ca="1" si="8"/>
        <v>0</v>
      </c>
      <c r="Q9" s="8">
        <f t="shared" ca="1" si="8"/>
        <v>0</v>
      </c>
      <c r="R9" s="8">
        <f t="shared" ca="1" si="8"/>
        <v>0</v>
      </c>
      <c r="S9" s="8">
        <f t="shared" ca="1" si="8"/>
        <v>0</v>
      </c>
      <c r="T9" s="8">
        <f t="shared" ca="1" si="8"/>
        <v>0</v>
      </c>
      <c r="U9" s="8">
        <f t="shared" ca="1" si="8"/>
        <v>0</v>
      </c>
      <c r="V9" s="8">
        <v>0</v>
      </c>
      <c r="W9" s="8">
        <v>0</v>
      </c>
      <c r="X9" s="8">
        <v>0</v>
      </c>
      <c r="Y9" s="8">
        <f t="shared" ca="1" si="1"/>
        <v>0</v>
      </c>
      <c r="Z9" s="8">
        <v>0</v>
      </c>
      <c r="AA9" s="8">
        <f t="shared" ca="1" si="2"/>
        <v>30</v>
      </c>
    </row>
    <row r="10" spans="1:27" x14ac:dyDescent="0.2">
      <c r="A10" s="7" t="s">
        <v>141</v>
      </c>
      <c r="B10" s="7">
        <v>15</v>
      </c>
      <c r="E10" s="10" t="s">
        <v>143</v>
      </c>
      <c r="F10" s="10">
        <f t="shared" ref="F10:U10" ca="1" si="9">IFERROR(VLOOKUP("*"&amp;$E10&amp;"*", INDIRECT("'"&amp;F$2&amp;"'!B:C"), 2, FALSE),0)</f>
        <v>30</v>
      </c>
      <c r="G10" s="10" t="str">
        <f t="shared" ca="1" si="9"/>
        <v>Auburn</v>
      </c>
      <c r="H10" s="10">
        <f t="shared" ca="1" si="9"/>
        <v>0</v>
      </c>
      <c r="I10" s="10">
        <f t="shared" ca="1" si="9"/>
        <v>0</v>
      </c>
      <c r="J10" s="10">
        <f t="shared" ca="1" si="9"/>
        <v>0</v>
      </c>
      <c r="K10" s="10">
        <f t="shared" ca="1" si="9"/>
        <v>0</v>
      </c>
      <c r="L10" s="10">
        <f t="shared" ca="1" si="9"/>
        <v>0</v>
      </c>
      <c r="M10" s="10">
        <f t="shared" ca="1" si="9"/>
        <v>0</v>
      </c>
      <c r="N10" s="10">
        <f t="shared" ca="1" si="9"/>
        <v>0</v>
      </c>
      <c r="O10" s="10">
        <f t="shared" ca="1" si="9"/>
        <v>0</v>
      </c>
      <c r="P10" s="10">
        <f t="shared" ca="1" si="9"/>
        <v>0</v>
      </c>
      <c r="Q10" s="10">
        <f t="shared" ca="1" si="9"/>
        <v>0</v>
      </c>
      <c r="R10" s="10">
        <f t="shared" ca="1" si="9"/>
        <v>0</v>
      </c>
      <c r="S10" s="10">
        <f t="shared" ca="1" si="9"/>
        <v>0</v>
      </c>
      <c r="T10" s="10">
        <f t="shared" ca="1" si="9"/>
        <v>0</v>
      </c>
      <c r="U10" s="10">
        <f t="shared" ca="1" si="9"/>
        <v>0</v>
      </c>
      <c r="V10" s="10">
        <v>0</v>
      </c>
      <c r="W10" s="10">
        <v>0</v>
      </c>
      <c r="X10" s="10">
        <v>0</v>
      </c>
      <c r="Y10" s="10">
        <f t="shared" ca="1" si="1"/>
        <v>0</v>
      </c>
      <c r="Z10" s="10">
        <v>0</v>
      </c>
      <c r="AA10" s="10">
        <f t="shared" ca="1" si="2"/>
        <v>30</v>
      </c>
    </row>
    <row r="11" spans="1:27" x14ac:dyDescent="0.2">
      <c r="A11" s="7" t="s">
        <v>147</v>
      </c>
      <c r="B11" s="7">
        <v>5</v>
      </c>
      <c r="E11" s="8" t="s">
        <v>148</v>
      </c>
      <c r="F11" s="8">
        <f t="shared" ref="F11:U11" ca="1" si="10">IFERROR(VLOOKUP("*"&amp;$E11&amp;"*", INDIRECT("'"&amp;F$2&amp;"'!B:C"), 2, FALSE),0)</f>
        <v>30</v>
      </c>
      <c r="G11" s="8" t="str">
        <f t="shared" ca="1" si="10"/>
        <v>Auburn</v>
      </c>
      <c r="H11" s="8">
        <f t="shared" ca="1" si="10"/>
        <v>0</v>
      </c>
      <c r="I11" s="8">
        <f t="shared" ca="1" si="10"/>
        <v>0</v>
      </c>
      <c r="J11" s="8">
        <f t="shared" ca="1" si="10"/>
        <v>0</v>
      </c>
      <c r="K11" s="8">
        <f t="shared" ca="1" si="10"/>
        <v>0</v>
      </c>
      <c r="L11" s="8">
        <f t="shared" ca="1" si="10"/>
        <v>0</v>
      </c>
      <c r="M11" s="8">
        <f t="shared" ca="1" si="10"/>
        <v>0</v>
      </c>
      <c r="N11" s="8">
        <f t="shared" ca="1" si="10"/>
        <v>0</v>
      </c>
      <c r="O11" s="8">
        <f t="shared" ca="1" si="10"/>
        <v>0</v>
      </c>
      <c r="P11" s="8">
        <f t="shared" ca="1" si="10"/>
        <v>0</v>
      </c>
      <c r="Q11" s="8">
        <f t="shared" ca="1" si="10"/>
        <v>0</v>
      </c>
      <c r="R11" s="8">
        <f t="shared" ca="1" si="10"/>
        <v>0</v>
      </c>
      <c r="S11" s="8">
        <f t="shared" ca="1" si="10"/>
        <v>0</v>
      </c>
      <c r="T11" s="8">
        <f t="shared" ca="1" si="10"/>
        <v>0</v>
      </c>
      <c r="U11" s="8">
        <f t="shared" ca="1" si="10"/>
        <v>0</v>
      </c>
      <c r="V11" s="8">
        <v>0</v>
      </c>
      <c r="W11" s="8">
        <v>0</v>
      </c>
      <c r="X11" s="8">
        <v>0</v>
      </c>
      <c r="Y11" s="8">
        <f t="shared" ca="1" si="1"/>
        <v>0</v>
      </c>
      <c r="Z11" s="8">
        <v>0</v>
      </c>
      <c r="AA11" s="8">
        <f t="shared" ca="1" si="2"/>
        <v>30</v>
      </c>
    </row>
    <row r="12" spans="1:27" x14ac:dyDescent="0.2">
      <c r="E12" s="10" t="s">
        <v>146</v>
      </c>
      <c r="F12" s="10">
        <f t="shared" ref="F12:U12" ca="1" si="11">IFERROR(VLOOKUP("*"&amp;$E12&amp;"*", INDIRECT("'"&amp;F$2&amp;"'!B:C"), 2, FALSE),0)</f>
        <v>30</v>
      </c>
      <c r="G12" s="10">
        <f t="shared" ca="1" si="11"/>
        <v>0</v>
      </c>
      <c r="H12" s="10">
        <f t="shared" ca="1" si="11"/>
        <v>0</v>
      </c>
      <c r="I12" s="10">
        <f t="shared" ca="1" si="11"/>
        <v>0</v>
      </c>
      <c r="J12" s="10">
        <f t="shared" ca="1" si="11"/>
        <v>0</v>
      </c>
      <c r="K12" s="10">
        <f t="shared" ca="1" si="11"/>
        <v>0</v>
      </c>
      <c r="L12" s="10">
        <f t="shared" ca="1" si="11"/>
        <v>0</v>
      </c>
      <c r="M12" s="10">
        <f t="shared" ca="1" si="11"/>
        <v>0</v>
      </c>
      <c r="N12" s="10">
        <f t="shared" ca="1" si="11"/>
        <v>0</v>
      </c>
      <c r="O12" s="10">
        <f t="shared" ca="1" si="11"/>
        <v>0</v>
      </c>
      <c r="P12" s="10">
        <f t="shared" ca="1" si="11"/>
        <v>0</v>
      </c>
      <c r="Q12" s="10">
        <f t="shared" ca="1" si="11"/>
        <v>0</v>
      </c>
      <c r="R12" s="10">
        <f t="shared" ca="1" si="11"/>
        <v>0</v>
      </c>
      <c r="S12" s="10">
        <f t="shared" ca="1" si="11"/>
        <v>0</v>
      </c>
      <c r="T12" s="10">
        <f t="shared" ca="1" si="11"/>
        <v>0</v>
      </c>
      <c r="U12" s="10">
        <f t="shared" ca="1" si="11"/>
        <v>0</v>
      </c>
      <c r="V12" s="10">
        <v>0</v>
      </c>
      <c r="W12" s="10">
        <v>0</v>
      </c>
      <c r="X12" s="10">
        <v>0</v>
      </c>
      <c r="Y12" s="10">
        <f t="shared" ca="1" si="1"/>
        <v>0</v>
      </c>
      <c r="Z12" s="10">
        <v>0</v>
      </c>
      <c r="AA12" s="10">
        <f t="shared" ca="1" si="2"/>
        <v>30</v>
      </c>
    </row>
    <row r="13" spans="1:27" x14ac:dyDescent="0.2">
      <c r="A13" s="11" t="s">
        <v>151</v>
      </c>
      <c r="B13" s="12"/>
      <c r="E13" s="8" t="s">
        <v>122</v>
      </c>
      <c r="F13" s="8">
        <f t="shared" ref="F13:U13" ca="1" si="12">IFERROR(VLOOKUP("*"&amp;$E13&amp;"*", INDIRECT("'"&amp;F$2&amp;"'!B:C"), 2, FALSE),0)</f>
        <v>25</v>
      </c>
      <c r="G13" s="8">
        <f t="shared" ca="1" si="12"/>
        <v>0</v>
      </c>
      <c r="H13" s="8">
        <f t="shared" ca="1" si="12"/>
        <v>0</v>
      </c>
      <c r="I13" s="8">
        <f t="shared" ca="1" si="12"/>
        <v>0</v>
      </c>
      <c r="J13" s="8">
        <f t="shared" ca="1" si="12"/>
        <v>0</v>
      </c>
      <c r="K13" s="8">
        <f t="shared" ca="1" si="12"/>
        <v>0</v>
      </c>
      <c r="L13" s="8">
        <f t="shared" ca="1" si="12"/>
        <v>0</v>
      </c>
      <c r="M13" s="8">
        <f t="shared" ca="1" si="12"/>
        <v>0</v>
      </c>
      <c r="N13" s="8">
        <f t="shared" ca="1" si="12"/>
        <v>0</v>
      </c>
      <c r="O13" s="8">
        <f t="shared" ca="1" si="12"/>
        <v>0</v>
      </c>
      <c r="P13" s="8">
        <f t="shared" ca="1" si="12"/>
        <v>0</v>
      </c>
      <c r="Q13" s="8">
        <f t="shared" ca="1" si="12"/>
        <v>0</v>
      </c>
      <c r="R13" s="8">
        <f t="shared" ca="1" si="12"/>
        <v>0</v>
      </c>
      <c r="S13" s="8">
        <f t="shared" ca="1" si="12"/>
        <v>0</v>
      </c>
      <c r="T13" s="8">
        <f t="shared" ca="1" si="12"/>
        <v>0</v>
      </c>
      <c r="U13" s="8">
        <f t="shared" ca="1" si="12"/>
        <v>0</v>
      </c>
      <c r="V13" s="8">
        <v>0</v>
      </c>
      <c r="W13" s="8">
        <v>0</v>
      </c>
      <c r="X13" s="8">
        <v>0</v>
      </c>
      <c r="Y13" s="8">
        <f t="shared" ca="1" si="1"/>
        <v>0</v>
      </c>
      <c r="Z13" s="8">
        <v>0</v>
      </c>
      <c r="AA13" s="8">
        <f t="shared" ca="1" si="2"/>
        <v>25</v>
      </c>
    </row>
    <row r="14" spans="1:27" x14ac:dyDescent="0.2">
      <c r="A14" s="3" t="s">
        <v>8</v>
      </c>
      <c r="B14" s="3" t="s">
        <v>11</v>
      </c>
      <c r="E14" s="10" t="s">
        <v>154</v>
      </c>
      <c r="F14" s="10">
        <f t="shared" ref="F14:U14" ca="1" si="13">IFERROR(VLOOKUP("*"&amp;$E14&amp;"*", INDIRECT("'"&amp;F$2&amp;"'!B:C"), 2, FALSE),0)</f>
        <v>25</v>
      </c>
      <c r="G14" s="10">
        <f t="shared" ca="1" si="13"/>
        <v>0</v>
      </c>
      <c r="H14" s="10">
        <f t="shared" ca="1" si="13"/>
        <v>0</v>
      </c>
      <c r="I14" s="10">
        <f t="shared" ca="1" si="13"/>
        <v>0</v>
      </c>
      <c r="J14" s="10">
        <f t="shared" ca="1" si="13"/>
        <v>0</v>
      </c>
      <c r="K14" s="10">
        <f t="shared" ca="1" si="13"/>
        <v>0</v>
      </c>
      <c r="L14" s="10">
        <f t="shared" ca="1" si="13"/>
        <v>0</v>
      </c>
      <c r="M14" s="10">
        <f t="shared" ca="1" si="13"/>
        <v>0</v>
      </c>
      <c r="N14" s="10">
        <f t="shared" ca="1" si="13"/>
        <v>0</v>
      </c>
      <c r="O14" s="10">
        <f t="shared" ca="1" si="13"/>
        <v>0</v>
      </c>
      <c r="P14" s="10">
        <f t="shared" ca="1" si="13"/>
        <v>0</v>
      </c>
      <c r="Q14" s="10">
        <f t="shared" ca="1" si="13"/>
        <v>0</v>
      </c>
      <c r="R14" s="10">
        <f t="shared" ca="1" si="13"/>
        <v>0</v>
      </c>
      <c r="S14" s="10">
        <f t="shared" ca="1" si="13"/>
        <v>0</v>
      </c>
      <c r="T14" s="10">
        <f t="shared" ca="1" si="13"/>
        <v>0</v>
      </c>
      <c r="U14" s="10">
        <f t="shared" ca="1" si="13"/>
        <v>0</v>
      </c>
      <c r="V14" s="10">
        <v>0</v>
      </c>
      <c r="W14" s="10">
        <v>0</v>
      </c>
      <c r="X14" s="10">
        <v>0</v>
      </c>
      <c r="Y14" s="10">
        <f t="shared" ca="1" si="1"/>
        <v>0</v>
      </c>
      <c r="Z14" s="10">
        <v>0</v>
      </c>
      <c r="AA14" s="10">
        <f t="shared" ca="1" si="2"/>
        <v>25</v>
      </c>
    </row>
    <row r="15" spans="1:27" x14ac:dyDescent="0.2">
      <c r="A15" s="7" t="s">
        <v>159</v>
      </c>
      <c r="B15" s="7">
        <v>5</v>
      </c>
    </row>
    <row r="16" spans="1:27" x14ac:dyDescent="0.2">
      <c r="A16" s="7" t="s">
        <v>160</v>
      </c>
      <c r="B16" s="7">
        <v>10</v>
      </c>
    </row>
    <row r="17" spans="1:2" x14ac:dyDescent="0.2">
      <c r="A17" s="7" t="s">
        <v>161</v>
      </c>
      <c r="B17" s="7">
        <v>20</v>
      </c>
    </row>
    <row r="18" spans="1:2" x14ac:dyDescent="0.2">
      <c r="A18" s="7" t="s">
        <v>162</v>
      </c>
      <c r="B18" s="7">
        <v>40</v>
      </c>
    </row>
    <row r="19" spans="1:2" x14ac:dyDescent="0.2">
      <c r="A19" s="7"/>
      <c r="B19" s="7"/>
    </row>
  </sheetData>
  <autoFilter ref="E2:AA14" xr:uid="{00000000-0009-0000-0000-000001000000}">
    <sortState xmlns:xlrd2="http://schemas.microsoft.com/office/spreadsheetml/2017/richdata2" ref="E2:AA14">
      <sortCondition descending="1" ref="AA2:AA14"/>
    </sortState>
  </autoFilter>
  <mergeCells count="4">
    <mergeCell ref="A1:B1"/>
    <mergeCell ref="E1:AA1"/>
    <mergeCell ref="A8:B8"/>
    <mergeCell ref="A13:B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18.85546875" customWidth="1"/>
    <col min="3" max="3" width="28.28515625" customWidth="1"/>
    <col min="4" max="19" width="18.85546875" customWidth="1"/>
    <col min="20" max="20" width="19.28515625" customWidth="1"/>
    <col min="21" max="26" width="18.85546875" customWidth="1"/>
  </cols>
  <sheetData>
    <row r="1" spans="1:20" ht="22.5" customHeight="1" x14ac:dyDescent="0.2">
      <c r="A1" s="2" t="s">
        <v>0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18</v>
      </c>
      <c r="I1" s="2" t="s">
        <v>22</v>
      </c>
      <c r="J1" s="2" t="s">
        <v>25</v>
      </c>
      <c r="K1" s="2" t="s">
        <v>29</v>
      </c>
      <c r="L1" s="2" t="s">
        <v>32</v>
      </c>
      <c r="M1" s="2" t="s">
        <v>35</v>
      </c>
      <c r="N1" s="2" t="s">
        <v>38</v>
      </c>
      <c r="O1" s="2" t="s">
        <v>40</v>
      </c>
      <c r="P1" s="2" t="s">
        <v>43</v>
      </c>
      <c r="Q1" s="2" t="s">
        <v>46</v>
      </c>
      <c r="R1" s="2" t="s">
        <v>50</v>
      </c>
      <c r="S1" s="2" t="s">
        <v>53</v>
      </c>
      <c r="T1" s="2" t="s">
        <v>58</v>
      </c>
    </row>
    <row r="2" spans="1:20" ht="22.5" customHeight="1" x14ac:dyDescent="0.2">
      <c r="A2" s="4">
        <v>46249.596181539353</v>
      </c>
      <c r="B2" s="5" t="s">
        <v>66</v>
      </c>
      <c r="C2" s="9" t="s">
        <v>70</v>
      </c>
      <c r="D2" s="5" t="s">
        <v>73</v>
      </c>
      <c r="E2" s="5" t="s">
        <v>76</v>
      </c>
      <c r="F2" s="5" t="s">
        <v>78</v>
      </c>
      <c r="G2" s="5" t="s">
        <v>81</v>
      </c>
      <c r="H2" s="5" t="s">
        <v>83</v>
      </c>
      <c r="I2" s="5" t="s">
        <v>85</v>
      </c>
      <c r="J2" s="5" t="s">
        <v>81</v>
      </c>
      <c r="K2" s="5" t="s">
        <v>76</v>
      </c>
      <c r="L2" s="5" t="s">
        <v>78</v>
      </c>
      <c r="M2" s="5" t="s">
        <v>86</v>
      </c>
      <c r="N2" s="5" t="s">
        <v>87</v>
      </c>
      <c r="O2" s="5" t="s">
        <v>89</v>
      </c>
      <c r="P2" s="5" t="s">
        <v>90</v>
      </c>
      <c r="Q2" s="5" t="s">
        <v>55</v>
      </c>
      <c r="R2" s="5" t="s">
        <v>91</v>
      </c>
      <c r="S2" s="5" t="s">
        <v>92</v>
      </c>
      <c r="T2" s="5" t="s">
        <v>73</v>
      </c>
    </row>
    <row r="3" spans="1:20" ht="22.5" customHeight="1" x14ac:dyDescent="0.2">
      <c r="A3" s="4">
        <v>46249.6900518287</v>
      </c>
      <c r="B3" s="5" t="s">
        <v>45</v>
      </c>
      <c r="C3" s="9" t="s">
        <v>94</v>
      </c>
      <c r="D3" s="5" t="s">
        <v>89</v>
      </c>
      <c r="E3" s="5" t="s">
        <v>95</v>
      </c>
      <c r="F3" s="5" t="s">
        <v>78</v>
      </c>
      <c r="G3" s="5" t="s">
        <v>81</v>
      </c>
      <c r="H3" s="5" t="s">
        <v>73</v>
      </c>
      <c r="I3" s="5" t="s">
        <v>89</v>
      </c>
      <c r="J3" s="5" t="s">
        <v>86</v>
      </c>
      <c r="K3" s="5" t="s">
        <v>76</v>
      </c>
      <c r="L3" s="5" t="s">
        <v>78</v>
      </c>
      <c r="M3" s="5" t="s">
        <v>81</v>
      </c>
      <c r="N3" s="5" t="s">
        <v>85</v>
      </c>
      <c r="O3" s="5" t="s">
        <v>55</v>
      </c>
      <c r="P3" s="5" t="s">
        <v>62</v>
      </c>
      <c r="Q3" s="5" t="s">
        <v>74</v>
      </c>
      <c r="R3" s="5" t="s">
        <v>103</v>
      </c>
      <c r="S3" s="5" t="s">
        <v>104</v>
      </c>
      <c r="T3" s="5" t="s">
        <v>62</v>
      </c>
    </row>
    <row r="4" spans="1:20" ht="22.5" customHeight="1" x14ac:dyDescent="0.2">
      <c r="A4" s="4">
        <v>46256.846104780096</v>
      </c>
      <c r="B4" s="5" t="s">
        <v>107</v>
      </c>
      <c r="C4" s="9" t="s">
        <v>108</v>
      </c>
      <c r="D4" s="5" t="s">
        <v>109</v>
      </c>
      <c r="E4" s="5" t="s">
        <v>76</v>
      </c>
      <c r="F4" s="5" t="s">
        <v>78</v>
      </c>
      <c r="G4" s="5" t="s">
        <v>111</v>
      </c>
      <c r="H4" s="5" t="s">
        <v>78</v>
      </c>
      <c r="I4" s="5" t="s">
        <v>85</v>
      </c>
      <c r="J4" s="5" t="s">
        <v>55</v>
      </c>
      <c r="K4" s="5" t="s">
        <v>111</v>
      </c>
      <c r="L4" s="5" t="s">
        <v>73</v>
      </c>
      <c r="M4" s="5" t="s">
        <v>89</v>
      </c>
      <c r="N4" s="5" t="s">
        <v>76</v>
      </c>
      <c r="O4" s="5" t="s">
        <v>81</v>
      </c>
      <c r="P4" s="5" t="s">
        <v>86</v>
      </c>
      <c r="Q4" s="5" t="s">
        <v>62</v>
      </c>
      <c r="R4" s="5" t="s">
        <v>103</v>
      </c>
      <c r="S4" s="5" t="s">
        <v>92</v>
      </c>
      <c r="T4" s="5" t="s">
        <v>78</v>
      </c>
    </row>
    <row r="5" spans="1:20" ht="22.5" customHeight="1" x14ac:dyDescent="0.2">
      <c r="A5" s="4">
        <v>46257.376316701389</v>
      </c>
      <c r="B5" s="5" t="s">
        <v>110</v>
      </c>
      <c r="C5" s="9" t="s">
        <v>94</v>
      </c>
      <c r="D5" s="5" t="s">
        <v>89</v>
      </c>
      <c r="E5" s="5" t="s">
        <v>76</v>
      </c>
      <c r="F5" s="5" t="s">
        <v>115</v>
      </c>
      <c r="G5" s="5" t="s">
        <v>85</v>
      </c>
      <c r="H5" s="5" t="s">
        <v>85</v>
      </c>
      <c r="I5" s="5" t="s">
        <v>89</v>
      </c>
      <c r="J5" s="5" t="s">
        <v>76</v>
      </c>
      <c r="K5" s="5" t="s">
        <v>78</v>
      </c>
      <c r="L5" s="5" t="s">
        <v>62</v>
      </c>
      <c r="M5" s="5" t="s">
        <v>73</v>
      </c>
      <c r="N5" s="5" t="s">
        <v>86</v>
      </c>
      <c r="O5" s="5" t="s">
        <v>81</v>
      </c>
      <c r="P5" s="5" t="s">
        <v>116</v>
      </c>
      <c r="Q5" s="5" t="s">
        <v>90</v>
      </c>
      <c r="R5" s="5" t="s">
        <v>77</v>
      </c>
      <c r="S5" s="5" t="s">
        <v>103</v>
      </c>
      <c r="T5" s="5" t="s">
        <v>89</v>
      </c>
    </row>
    <row r="6" spans="1:20" ht="22.5" customHeight="1" x14ac:dyDescent="0.2">
      <c r="A6" s="4">
        <v>46260.757009664347</v>
      </c>
      <c r="B6" s="5" t="s">
        <v>117</v>
      </c>
      <c r="C6" s="9" t="s">
        <v>94</v>
      </c>
      <c r="D6" s="5" t="s">
        <v>89</v>
      </c>
      <c r="E6" s="5" t="s">
        <v>76</v>
      </c>
      <c r="F6" s="5" t="s">
        <v>78</v>
      </c>
      <c r="G6" s="5" t="s">
        <v>85</v>
      </c>
      <c r="H6" s="5" t="s">
        <v>78</v>
      </c>
      <c r="I6" s="5" t="s">
        <v>76</v>
      </c>
      <c r="J6" s="5" t="s">
        <v>89</v>
      </c>
      <c r="K6" s="5" t="s">
        <v>85</v>
      </c>
      <c r="L6" s="5" t="s">
        <v>81</v>
      </c>
      <c r="M6" s="5" t="s">
        <v>120</v>
      </c>
      <c r="N6" s="5" t="s">
        <v>103</v>
      </c>
      <c r="O6" s="5" t="s">
        <v>73</v>
      </c>
      <c r="P6" s="5" t="s">
        <v>86</v>
      </c>
      <c r="Q6" s="5" t="s">
        <v>62</v>
      </c>
      <c r="R6" s="5" t="s">
        <v>91</v>
      </c>
      <c r="S6" s="5" t="s">
        <v>55</v>
      </c>
      <c r="T6" s="5" t="s">
        <v>89</v>
      </c>
    </row>
    <row r="7" spans="1:20" ht="22.5" customHeight="1" x14ac:dyDescent="0.2">
      <c r="A7" s="4">
        <v>46262.036524965282</v>
      </c>
      <c r="B7" s="5" t="s">
        <v>122</v>
      </c>
      <c r="C7" s="9" t="s">
        <v>70</v>
      </c>
      <c r="D7" s="5" t="s">
        <v>73</v>
      </c>
      <c r="E7" s="5" t="s">
        <v>76</v>
      </c>
      <c r="F7" s="5" t="s">
        <v>78</v>
      </c>
      <c r="G7" s="5" t="s">
        <v>81</v>
      </c>
      <c r="H7" s="5" t="s">
        <v>73</v>
      </c>
      <c r="I7" s="5" t="s">
        <v>89</v>
      </c>
      <c r="J7" s="5" t="s">
        <v>85</v>
      </c>
      <c r="K7" s="5" t="s">
        <v>81</v>
      </c>
      <c r="L7" s="5" t="s">
        <v>78</v>
      </c>
      <c r="M7" s="5" t="s">
        <v>76</v>
      </c>
      <c r="N7" s="5" t="s">
        <v>55</v>
      </c>
      <c r="O7" s="5" t="s">
        <v>86</v>
      </c>
      <c r="P7" s="5" t="s">
        <v>62</v>
      </c>
      <c r="Q7" s="5" t="s">
        <v>92</v>
      </c>
      <c r="R7" s="5" t="s">
        <v>111</v>
      </c>
      <c r="S7" s="5" t="s">
        <v>74</v>
      </c>
      <c r="T7" s="5" t="s">
        <v>73</v>
      </c>
    </row>
    <row r="8" spans="1:20" ht="22.5" customHeight="1" x14ac:dyDescent="0.2">
      <c r="A8" s="4">
        <v>46262.628273310183</v>
      </c>
      <c r="B8" s="5" t="s">
        <v>84</v>
      </c>
      <c r="C8" s="9" t="s">
        <v>70</v>
      </c>
      <c r="D8" s="5" t="s">
        <v>89</v>
      </c>
      <c r="E8" s="5" t="s">
        <v>126</v>
      </c>
      <c r="F8" s="5" t="s">
        <v>78</v>
      </c>
      <c r="G8" s="5" t="s">
        <v>127</v>
      </c>
      <c r="H8" s="5" t="s">
        <v>89</v>
      </c>
      <c r="I8" s="5" t="s">
        <v>86</v>
      </c>
      <c r="J8" s="5" t="s">
        <v>128</v>
      </c>
      <c r="K8" s="5" t="s">
        <v>85</v>
      </c>
      <c r="L8" s="5" t="s">
        <v>81</v>
      </c>
      <c r="M8" s="5" t="s">
        <v>103</v>
      </c>
      <c r="N8" s="5" t="s">
        <v>126</v>
      </c>
      <c r="O8" s="5" t="s">
        <v>131</v>
      </c>
      <c r="P8" s="5" t="s">
        <v>76</v>
      </c>
      <c r="Q8" s="5" t="s">
        <v>111</v>
      </c>
      <c r="R8" s="5" t="s">
        <v>132</v>
      </c>
      <c r="S8" s="5" t="s">
        <v>120</v>
      </c>
      <c r="T8" s="5" t="s">
        <v>73</v>
      </c>
    </row>
    <row r="9" spans="1:20" ht="22.5" customHeight="1" x14ac:dyDescent="0.2">
      <c r="A9" s="4">
        <v>46262.629154895832</v>
      </c>
      <c r="B9" s="5" t="s">
        <v>125</v>
      </c>
      <c r="C9" s="9" t="s">
        <v>70</v>
      </c>
      <c r="D9" s="5" t="s">
        <v>73</v>
      </c>
      <c r="E9" s="5" t="s">
        <v>134</v>
      </c>
      <c r="F9" s="5" t="s">
        <v>78</v>
      </c>
      <c r="G9" s="5" t="s">
        <v>136</v>
      </c>
      <c r="H9" s="5" t="s">
        <v>81</v>
      </c>
      <c r="I9" s="5" t="s">
        <v>85</v>
      </c>
      <c r="J9" s="5" t="s">
        <v>137</v>
      </c>
      <c r="K9" s="5" t="s">
        <v>138</v>
      </c>
      <c r="L9" s="5" t="s">
        <v>89</v>
      </c>
      <c r="M9" s="5" t="s">
        <v>134</v>
      </c>
      <c r="N9" s="5" t="s">
        <v>78</v>
      </c>
      <c r="O9" s="5" t="s">
        <v>139</v>
      </c>
      <c r="P9" s="5" t="s">
        <v>140</v>
      </c>
      <c r="Q9" s="5" t="s">
        <v>142</v>
      </c>
      <c r="R9" s="5" t="s">
        <v>144</v>
      </c>
      <c r="S9" s="5" t="s">
        <v>145</v>
      </c>
      <c r="T9" s="5" t="s">
        <v>73</v>
      </c>
    </row>
    <row r="10" spans="1:20" ht="22.5" customHeight="1" x14ac:dyDescent="0.2">
      <c r="A10" s="4">
        <v>46262.81859693287</v>
      </c>
      <c r="B10" s="5" t="s">
        <v>121</v>
      </c>
      <c r="C10" s="9" t="s">
        <v>70</v>
      </c>
      <c r="D10" s="5" t="s">
        <v>73</v>
      </c>
      <c r="E10" s="5" t="s">
        <v>76</v>
      </c>
      <c r="F10" s="5" t="s">
        <v>78</v>
      </c>
      <c r="G10" s="5" t="s">
        <v>81</v>
      </c>
      <c r="H10" s="5" t="s">
        <v>81</v>
      </c>
      <c r="I10" s="5" t="s">
        <v>85</v>
      </c>
      <c r="J10" s="5" t="s">
        <v>73</v>
      </c>
      <c r="K10" s="5" t="s">
        <v>89</v>
      </c>
      <c r="L10" s="5" t="s">
        <v>78</v>
      </c>
      <c r="M10" s="5" t="s">
        <v>86</v>
      </c>
      <c r="N10" s="5" t="s">
        <v>76</v>
      </c>
      <c r="O10" s="5" t="s">
        <v>62</v>
      </c>
      <c r="P10" s="5" t="s">
        <v>103</v>
      </c>
      <c r="Q10" s="5" t="s">
        <v>91</v>
      </c>
      <c r="R10" s="5" t="s">
        <v>74</v>
      </c>
      <c r="S10" s="5" t="s">
        <v>55</v>
      </c>
      <c r="T10" s="5" t="s">
        <v>73</v>
      </c>
    </row>
    <row r="11" spans="1:20" ht="22.5" customHeight="1" x14ac:dyDescent="0.2">
      <c r="A11" s="4">
        <v>46263.316192349535</v>
      </c>
      <c r="B11" s="5" t="s">
        <v>146</v>
      </c>
      <c r="C11" s="9" t="s">
        <v>94</v>
      </c>
      <c r="D11" s="5" t="s">
        <v>128</v>
      </c>
      <c r="E11" s="5" t="s">
        <v>134</v>
      </c>
      <c r="F11" s="5" t="s">
        <v>78</v>
      </c>
      <c r="G11" s="5" t="s">
        <v>81</v>
      </c>
      <c r="H11" s="5" t="s">
        <v>81</v>
      </c>
      <c r="I11" s="5" t="s">
        <v>78</v>
      </c>
      <c r="J11" s="5" t="s">
        <v>149</v>
      </c>
      <c r="K11" s="5" t="s">
        <v>73</v>
      </c>
      <c r="L11" s="5" t="s">
        <v>89</v>
      </c>
      <c r="M11" s="5" t="s">
        <v>138</v>
      </c>
      <c r="N11" s="5" t="s">
        <v>86</v>
      </c>
      <c r="O11" s="5" t="s">
        <v>85</v>
      </c>
      <c r="P11" s="5" t="s">
        <v>111</v>
      </c>
      <c r="Q11" s="5" t="s">
        <v>55</v>
      </c>
      <c r="R11" s="5" t="s">
        <v>91</v>
      </c>
      <c r="S11" s="5" t="s">
        <v>153</v>
      </c>
      <c r="T11" s="5" t="s">
        <v>73</v>
      </c>
    </row>
    <row r="12" spans="1:20" ht="22.5" customHeight="1" x14ac:dyDescent="0.2">
      <c r="A12" s="4">
        <v>46263.327840115744</v>
      </c>
      <c r="B12" s="5" t="s">
        <v>143</v>
      </c>
      <c r="C12" s="9" t="s">
        <v>108</v>
      </c>
      <c r="D12" s="5" t="s">
        <v>73</v>
      </c>
      <c r="E12" s="5" t="s">
        <v>126</v>
      </c>
      <c r="F12" s="5" t="s">
        <v>78</v>
      </c>
      <c r="G12" s="5" t="s">
        <v>140</v>
      </c>
      <c r="H12" s="5" t="s">
        <v>103</v>
      </c>
      <c r="I12" s="5" t="s">
        <v>126</v>
      </c>
      <c r="J12" s="5" t="s">
        <v>73</v>
      </c>
      <c r="K12" s="5" t="s">
        <v>78</v>
      </c>
      <c r="L12" s="5" t="s">
        <v>155</v>
      </c>
      <c r="M12" s="5" t="s">
        <v>131</v>
      </c>
      <c r="N12" s="5" t="s">
        <v>91</v>
      </c>
      <c r="O12" s="5" t="s">
        <v>136</v>
      </c>
      <c r="P12" s="5" t="s">
        <v>111</v>
      </c>
      <c r="Q12" s="5" t="s">
        <v>81</v>
      </c>
      <c r="R12" s="5" t="s">
        <v>156</v>
      </c>
      <c r="S12" s="5" t="s">
        <v>86</v>
      </c>
      <c r="T12" s="5" t="s">
        <v>73</v>
      </c>
    </row>
    <row r="13" spans="1:20" ht="22.5" customHeight="1" x14ac:dyDescent="0.2">
      <c r="A13" s="4">
        <v>46263.328584490737</v>
      </c>
      <c r="B13" s="5" t="s">
        <v>106</v>
      </c>
      <c r="C13" s="9" t="s">
        <v>157</v>
      </c>
      <c r="D13" s="5" t="s">
        <v>156</v>
      </c>
      <c r="E13" s="5" t="s">
        <v>158</v>
      </c>
      <c r="F13" s="5" t="s">
        <v>78</v>
      </c>
      <c r="G13" s="5" t="s">
        <v>81</v>
      </c>
      <c r="H13" s="5" t="s">
        <v>91</v>
      </c>
      <c r="I13" s="5" t="s">
        <v>156</v>
      </c>
      <c r="J13" s="5" t="s">
        <v>83</v>
      </c>
      <c r="K13" s="5" t="s">
        <v>78</v>
      </c>
      <c r="L13" s="5" t="s">
        <v>62</v>
      </c>
      <c r="M13" s="5" t="s">
        <v>136</v>
      </c>
      <c r="N13" s="5" t="s">
        <v>81</v>
      </c>
      <c r="O13" s="5" t="s">
        <v>163</v>
      </c>
      <c r="P13" s="5" t="s">
        <v>126</v>
      </c>
      <c r="Q13" s="5" t="s">
        <v>92</v>
      </c>
      <c r="R13" s="5" t="s">
        <v>164</v>
      </c>
      <c r="S13" s="5" t="s">
        <v>111</v>
      </c>
      <c r="T13" s="5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8.85546875" customWidth="1"/>
    <col min="5" max="5" width="21.5703125" customWidth="1"/>
    <col min="6" max="6" width="19.42578125" customWidth="1"/>
    <col min="7" max="7" width="34.5703125" customWidth="1"/>
    <col min="8" max="8" width="33.140625" customWidth="1"/>
    <col min="9" max="9" width="18.85546875" customWidth="1"/>
    <col min="10" max="10" width="29.85546875" customWidth="1"/>
    <col min="11" max="17" width="18.85546875" customWidth="1"/>
  </cols>
  <sheetData>
    <row r="1" spans="1:11" ht="22.5" customHeight="1" x14ac:dyDescent="0.2">
      <c r="A1" s="2" t="s">
        <v>0</v>
      </c>
      <c r="B1" s="2" t="s">
        <v>3</v>
      </c>
      <c r="C1" s="2" t="s">
        <v>48</v>
      </c>
      <c r="D1" s="2" t="s">
        <v>56</v>
      </c>
      <c r="E1" s="2" t="s">
        <v>60</v>
      </c>
      <c r="F1" s="2" t="s">
        <v>63</v>
      </c>
      <c r="G1" s="2" t="s">
        <v>67</v>
      </c>
      <c r="H1" s="2" t="s">
        <v>71</v>
      </c>
      <c r="I1" s="2" t="s">
        <v>75</v>
      </c>
      <c r="J1" s="2" t="s">
        <v>80</v>
      </c>
      <c r="K1" s="2" t="s">
        <v>82</v>
      </c>
    </row>
    <row r="2" spans="1:11" ht="22.5" customHeight="1" x14ac:dyDescent="0.2">
      <c r="A2" s="4">
        <v>46256.825154050923</v>
      </c>
      <c r="B2" s="5" t="s">
        <v>84</v>
      </c>
      <c r="C2" s="5">
        <f t="shared" ref="C2:C14" si="0">SUMPRODUCT((D2:L2=D$14:L$14)*5)</f>
        <v>30</v>
      </c>
      <c r="D2" s="5" t="s">
        <v>96</v>
      </c>
      <c r="E2" s="5" t="s">
        <v>91</v>
      </c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</row>
    <row r="3" spans="1:11" ht="22.5" customHeight="1" x14ac:dyDescent="0.2">
      <c r="A3" s="4">
        <v>46256.831802743051</v>
      </c>
      <c r="B3" s="5" t="s">
        <v>106</v>
      </c>
      <c r="C3" s="5">
        <f t="shared" si="0"/>
        <v>35</v>
      </c>
      <c r="D3" s="5" t="s">
        <v>96</v>
      </c>
      <c r="E3" s="5" t="s">
        <v>91</v>
      </c>
      <c r="F3" s="5" t="s">
        <v>97</v>
      </c>
      <c r="G3" s="5" t="s">
        <v>98</v>
      </c>
      <c r="H3" s="5" t="s">
        <v>99</v>
      </c>
      <c r="I3" s="5" t="s">
        <v>112</v>
      </c>
      <c r="J3" s="5" t="s">
        <v>101</v>
      </c>
      <c r="K3" s="5" t="s">
        <v>102</v>
      </c>
    </row>
    <row r="4" spans="1:11" ht="22.5" customHeight="1" x14ac:dyDescent="0.2">
      <c r="A4" s="4">
        <v>46257.668614374998</v>
      </c>
      <c r="B4" s="5" t="s">
        <v>45</v>
      </c>
      <c r="C4" s="5">
        <f t="shared" si="0"/>
        <v>35</v>
      </c>
      <c r="D4" s="5" t="s">
        <v>96</v>
      </c>
      <c r="E4" s="5" t="s">
        <v>91</v>
      </c>
      <c r="F4" s="5" t="s">
        <v>97</v>
      </c>
      <c r="G4" s="5" t="s">
        <v>98</v>
      </c>
      <c r="H4" s="5" t="s">
        <v>99</v>
      </c>
      <c r="I4" s="5" t="s">
        <v>112</v>
      </c>
      <c r="J4" s="5" t="s">
        <v>101</v>
      </c>
      <c r="K4" s="5" t="s">
        <v>102</v>
      </c>
    </row>
    <row r="5" spans="1:11" ht="22.5" customHeight="1" x14ac:dyDescent="0.2">
      <c r="A5" s="4">
        <v>46257.7951316088</v>
      </c>
      <c r="B5" s="5" t="s">
        <v>66</v>
      </c>
      <c r="C5" s="5">
        <f t="shared" si="0"/>
        <v>35</v>
      </c>
      <c r="D5" s="5" t="s">
        <v>96</v>
      </c>
      <c r="E5" s="5" t="s">
        <v>91</v>
      </c>
      <c r="F5" s="5" t="s">
        <v>97</v>
      </c>
      <c r="G5" s="5" t="s">
        <v>98</v>
      </c>
      <c r="H5" s="5" t="s">
        <v>99</v>
      </c>
      <c r="I5" s="5" t="s">
        <v>112</v>
      </c>
      <c r="J5" s="5" t="s">
        <v>101</v>
      </c>
      <c r="K5" s="5" t="s">
        <v>102</v>
      </c>
    </row>
    <row r="6" spans="1:11" ht="22.5" customHeight="1" x14ac:dyDescent="0.2">
      <c r="A6" s="4">
        <v>46260.757729502315</v>
      </c>
      <c r="B6" s="5" t="s">
        <v>117</v>
      </c>
      <c r="C6" s="5">
        <f t="shared" si="0"/>
        <v>30</v>
      </c>
      <c r="D6" s="5" t="s">
        <v>96</v>
      </c>
      <c r="E6" s="5" t="s">
        <v>91</v>
      </c>
      <c r="F6" s="5" t="s">
        <v>119</v>
      </c>
      <c r="G6" s="5" t="s">
        <v>98</v>
      </c>
      <c r="H6" s="5" t="s">
        <v>99</v>
      </c>
      <c r="I6" s="5" t="s">
        <v>112</v>
      </c>
      <c r="J6" s="5" t="s">
        <v>101</v>
      </c>
      <c r="K6" s="5" t="s">
        <v>102</v>
      </c>
    </row>
    <row r="7" spans="1:11" ht="22.5" customHeight="1" x14ac:dyDescent="0.2">
      <c r="A7" s="4">
        <v>46261.641141284723</v>
      </c>
      <c r="B7" s="5" t="s">
        <v>110</v>
      </c>
      <c r="C7" s="5">
        <f t="shared" si="0"/>
        <v>35</v>
      </c>
      <c r="D7" s="5" t="s">
        <v>96</v>
      </c>
      <c r="E7" s="5" t="s">
        <v>91</v>
      </c>
      <c r="F7" s="5" t="s">
        <v>119</v>
      </c>
      <c r="G7" s="5" t="s">
        <v>98</v>
      </c>
      <c r="H7" s="5" t="s">
        <v>99</v>
      </c>
      <c r="I7" s="5" t="s">
        <v>112</v>
      </c>
      <c r="J7" s="5" t="s">
        <v>101</v>
      </c>
      <c r="K7" s="5" t="s">
        <v>123</v>
      </c>
    </row>
    <row r="8" spans="1:11" ht="22.5" customHeight="1" x14ac:dyDescent="0.2">
      <c r="A8" s="4">
        <v>46262.625165729165</v>
      </c>
      <c r="B8" s="5" t="s">
        <v>93</v>
      </c>
      <c r="C8" s="5">
        <f t="shared" si="0"/>
        <v>35</v>
      </c>
      <c r="D8" s="5" t="s">
        <v>96</v>
      </c>
      <c r="E8" s="5" t="s">
        <v>91</v>
      </c>
      <c r="F8" s="5" t="s">
        <v>97</v>
      </c>
      <c r="G8" s="5" t="s">
        <v>124</v>
      </c>
      <c r="H8" s="5" t="s">
        <v>99</v>
      </c>
      <c r="I8" s="5" t="s">
        <v>112</v>
      </c>
      <c r="J8" s="5" t="s">
        <v>101</v>
      </c>
      <c r="K8" s="5" t="s">
        <v>123</v>
      </c>
    </row>
    <row r="9" spans="1:11" ht="22.5" customHeight="1" x14ac:dyDescent="0.2">
      <c r="A9" s="4">
        <v>46262.811811736115</v>
      </c>
      <c r="B9" s="5" t="s">
        <v>121</v>
      </c>
      <c r="C9" s="5">
        <f t="shared" si="0"/>
        <v>35</v>
      </c>
      <c r="D9" s="5" t="s">
        <v>96</v>
      </c>
      <c r="E9" s="5" t="s">
        <v>91</v>
      </c>
      <c r="F9" s="5" t="s">
        <v>97</v>
      </c>
      <c r="G9" s="5" t="s">
        <v>98</v>
      </c>
      <c r="H9" s="5" t="s">
        <v>99</v>
      </c>
      <c r="I9" s="5" t="s">
        <v>112</v>
      </c>
      <c r="J9" s="5" t="s">
        <v>101</v>
      </c>
      <c r="K9" s="5" t="s">
        <v>102</v>
      </c>
    </row>
    <row r="10" spans="1:11" ht="22.5" customHeight="1" x14ac:dyDescent="0.2">
      <c r="A10" s="4">
        <v>46262.995373530095</v>
      </c>
      <c r="B10" s="5" t="s">
        <v>122</v>
      </c>
      <c r="C10" s="5">
        <f t="shared" si="0"/>
        <v>25</v>
      </c>
      <c r="D10" s="5" t="s">
        <v>96</v>
      </c>
      <c r="E10" s="5" t="s">
        <v>91</v>
      </c>
      <c r="F10" s="5" t="s">
        <v>119</v>
      </c>
      <c r="G10" s="5" t="s">
        <v>98</v>
      </c>
      <c r="H10" s="5" t="s">
        <v>135</v>
      </c>
      <c r="I10" s="5" t="s">
        <v>112</v>
      </c>
      <c r="J10" s="5" t="s">
        <v>101</v>
      </c>
      <c r="K10" s="5" t="s">
        <v>102</v>
      </c>
    </row>
    <row r="11" spans="1:11" ht="22.5" customHeight="1" x14ac:dyDescent="0.2">
      <c r="A11" s="4">
        <v>46263.028507870375</v>
      </c>
      <c r="B11" s="5" t="s">
        <v>107</v>
      </c>
      <c r="C11" s="5">
        <f t="shared" si="0"/>
        <v>25</v>
      </c>
      <c r="D11" s="5" t="s">
        <v>96</v>
      </c>
      <c r="E11" s="5" t="s">
        <v>91</v>
      </c>
      <c r="F11" s="5" t="s">
        <v>119</v>
      </c>
      <c r="G11" s="5" t="s">
        <v>124</v>
      </c>
      <c r="H11" s="5" t="s">
        <v>99</v>
      </c>
      <c r="I11" s="5" t="s">
        <v>100</v>
      </c>
      <c r="J11" s="5" t="s">
        <v>101</v>
      </c>
      <c r="K11" s="5" t="s">
        <v>123</v>
      </c>
    </row>
    <row r="12" spans="1:11" ht="22.5" customHeight="1" x14ac:dyDescent="0.2">
      <c r="A12" s="4">
        <v>46263.309590196761</v>
      </c>
      <c r="B12" s="5" t="s">
        <v>146</v>
      </c>
      <c r="C12" s="5">
        <f t="shared" si="0"/>
        <v>30</v>
      </c>
      <c r="D12" s="5" t="s">
        <v>96</v>
      </c>
      <c r="E12" s="5" t="s">
        <v>91</v>
      </c>
      <c r="F12" s="5" t="s">
        <v>119</v>
      </c>
      <c r="G12" s="5" t="s">
        <v>98</v>
      </c>
      <c r="H12" s="5" t="s">
        <v>99</v>
      </c>
      <c r="I12" s="5" t="s">
        <v>112</v>
      </c>
      <c r="J12" s="5" t="s">
        <v>101</v>
      </c>
      <c r="K12" s="5" t="s">
        <v>102</v>
      </c>
    </row>
    <row r="13" spans="1:11" ht="22.5" customHeight="1" x14ac:dyDescent="0.2">
      <c r="A13" s="4">
        <v>46263.324212430554</v>
      </c>
      <c r="B13" s="5" t="s">
        <v>143</v>
      </c>
      <c r="C13" s="5">
        <f t="shared" si="0"/>
        <v>30</v>
      </c>
      <c r="D13" s="5" t="s">
        <v>96</v>
      </c>
      <c r="E13" s="5" t="s">
        <v>91</v>
      </c>
      <c r="F13" s="5" t="s">
        <v>97</v>
      </c>
      <c r="G13" s="5" t="s">
        <v>124</v>
      </c>
      <c r="H13" s="5" t="s">
        <v>135</v>
      </c>
      <c r="I13" s="5" t="s">
        <v>112</v>
      </c>
      <c r="J13" s="5" t="s">
        <v>101</v>
      </c>
      <c r="K13" s="5" t="s">
        <v>123</v>
      </c>
    </row>
    <row r="14" spans="1:11" ht="22.5" customHeight="1" x14ac:dyDescent="0.2">
      <c r="A14" s="4"/>
      <c r="B14" s="5" t="s">
        <v>150</v>
      </c>
      <c r="C14" s="5">
        <f t="shared" si="0"/>
        <v>45</v>
      </c>
      <c r="D14" s="5" t="s">
        <v>152</v>
      </c>
      <c r="E14" s="5" t="s">
        <v>91</v>
      </c>
      <c r="F14" s="5" t="s">
        <v>97</v>
      </c>
      <c r="G14" s="5" t="s">
        <v>98</v>
      </c>
      <c r="H14" s="5" t="s">
        <v>99</v>
      </c>
      <c r="I14" s="5" t="s">
        <v>112</v>
      </c>
      <c r="J14" s="5" t="s">
        <v>101</v>
      </c>
      <c r="K14" s="5" t="s">
        <v>123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"/>
  <sheetViews>
    <sheetView tabSelected="1" workbookViewId="0">
      <pane ySplit="1" topLeftCell="A2" activePane="bottomLeft" state="frozen"/>
      <selection pane="bottomLeft" activeCell="D25" sqref="D25"/>
    </sheetView>
  </sheetViews>
  <sheetFormatPr defaultColWidth="12.5703125" defaultRowHeight="15.75" customHeight="1" x14ac:dyDescent="0.2"/>
  <cols>
    <col min="1" max="4" width="18.85546875" customWidth="1"/>
    <col min="5" max="5" width="27.140625" customWidth="1"/>
    <col min="6" max="6" width="24.42578125" customWidth="1"/>
    <col min="7" max="7" width="25.85546875" customWidth="1"/>
    <col min="8" max="9" width="18.85546875" customWidth="1"/>
    <col min="10" max="10" width="21.42578125" customWidth="1"/>
    <col min="11" max="11" width="18.85546875" customWidth="1"/>
    <col min="12" max="12" width="20.85546875" customWidth="1"/>
    <col min="13" max="18" width="18.85546875" customWidth="1"/>
  </cols>
  <sheetData>
    <row r="1" spans="1:12" ht="22.5" customHeight="1" x14ac:dyDescent="0.2">
      <c r="A1" s="2" t="s">
        <v>0</v>
      </c>
      <c r="B1" s="2" t="s">
        <v>3</v>
      </c>
      <c r="C1" s="2" t="s">
        <v>4</v>
      </c>
      <c r="D1" s="2" t="s">
        <v>6</v>
      </c>
      <c r="E1" s="2" t="s">
        <v>9</v>
      </c>
      <c r="F1" s="2" t="s">
        <v>12</v>
      </c>
      <c r="G1" s="2" t="s">
        <v>15</v>
      </c>
      <c r="H1" s="2" t="s">
        <v>20</v>
      </c>
      <c r="I1" s="2" t="s">
        <v>23</v>
      </c>
      <c r="J1" s="2" t="s">
        <v>27</v>
      </c>
      <c r="K1" s="2" t="s">
        <v>31</v>
      </c>
      <c r="L1" s="2" t="s">
        <v>33</v>
      </c>
    </row>
    <row r="2" spans="1:12" ht="22.5" customHeight="1" x14ac:dyDescent="0.2">
      <c r="A2" s="4">
        <v>46266.472020902773</v>
      </c>
      <c r="B2" s="5" t="s">
        <v>45</v>
      </c>
      <c r="C2" s="5" t="s">
        <v>51</v>
      </c>
      <c r="D2" s="5" t="s">
        <v>55</v>
      </c>
      <c r="E2" s="5" t="s">
        <v>59</v>
      </c>
      <c r="F2" s="5" t="s">
        <v>62</v>
      </c>
      <c r="G2" s="5" t="s">
        <v>64</v>
      </c>
      <c r="H2" s="5" t="s">
        <v>69</v>
      </c>
      <c r="I2" s="5" t="s">
        <v>72</v>
      </c>
      <c r="J2" s="5" t="s">
        <v>74</v>
      </c>
      <c r="K2" s="5" t="s">
        <v>77</v>
      </c>
      <c r="L2" s="5" t="s">
        <v>79</v>
      </c>
    </row>
    <row r="3" spans="1:12" ht="22.5" customHeight="1" x14ac:dyDescent="0.2">
      <c r="A3" s="4">
        <v>46266.472552037041</v>
      </c>
      <c r="B3" s="5" t="s">
        <v>84</v>
      </c>
      <c r="C3" s="5" t="s">
        <v>51</v>
      </c>
      <c r="D3" s="5" t="s">
        <v>55</v>
      </c>
      <c r="E3" s="5" t="s">
        <v>59</v>
      </c>
      <c r="F3" s="5" t="s">
        <v>62</v>
      </c>
      <c r="G3" s="5" t="s">
        <v>64</v>
      </c>
      <c r="H3" s="5" t="s">
        <v>88</v>
      </c>
      <c r="I3" s="5" t="s">
        <v>72</v>
      </c>
      <c r="J3" s="5" t="s">
        <v>74</v>
      </c>
      <c r="K3" s="5" t="s">
        <v>77</v>
      </c>
      <c r="L3" s="5" t="s">
        <v>79</v>
      </c>
    </row>
    <row r="4" spans="1:12" ht="22.5" customHeight="1" x14ac:dyDescent="0.2">
      <c r="A4" s="4">
        <v>46266.708677453702</v>
      </c>
      <c r="B4" s="5" t="s">
        <v>93</v>
      </c>
      <c r="C4" s="5" t="s">
        <v>51</v>
      </c>
      <c r="D4" s="5" t="s">
        <v>55</v>
      </c>
      <c r="E4" s="5" t="s">
        <v>59</v>
      </c>
      <c r="F4" s="5" t="s">
        <v>62</v>
      </c>
      <c r="G4" s="5" t="s">
        <v>64</v>
      </c>
      <c r="H4" s="5" t="s">
        <v>88</v>
      </c>
      <c r="I4" s="5" t="s">
        <v>72</v>
      </c>
      <c r="J4" s="5" t="s">
        <v>74</v>
      </c>
      <c r="K4" s="5" t="s">
        <v>77</v>
      </c>
      <c r="L4" s="5" t="s">
        <v>79</v>
      </c>
    </row>
    <row r="5" spans="1:12" ht="22.5" customHeight="1" x14ac:dyDescent="0.2">
      <c r="A5" s="4">
        <v>46267.883570601851</v>
      </c>
      <c r="B5" s="5" t="s">
        <v>66</v>
      </c>
      <c r="C5" s="5" t="s">
        <v>51</v>
      </c>
      <c r="D5" s="5" t="s">
        <v>55</v>
      </c>
      <c r="E5" s="5" t="s">
        <v>59</v>
      </c>
      <c r="F5" s="5" t="s">
        <v>62</v>
      </c>
      <c r="G5" s="5" t="s">
        <v>64</v>
      </c>
      <c r="H5" s="5" t="s">
        <v>88</v>
      </c>
      <c r="I5" s="5" t="s">
        <v>105</v>
      </c>
      <c r="J5" s="5" t="s">
        <v>74</v>
      </c>
      <c r="K5" s="5" t="s">
        <v>77</v>
      </c>
      <c r="L5" s="5" t="s">
        <v>79</v>
      </c>
    </row>
    <row r="6" spans="1:12" ht="22.5" customHeight="1" x14ac:dyDescent="0.2">
      <c r="A6" s="4">
        <v>46268.330347465278</v>
      </c>
      <c r="B6" s="5" t="s">
        <v>110</v>
      </c>
      <c r="C6" s="5" t="s">
        <v>51</v>
      </c>
      <c r="D6" s="5" t="s">
        <v>55</v>
      </c>
      <c r="E6" s="5" t="s">
        <v>59</v>
      </c>
      <c r="F6" s="5" t="s">
        <v>62</v>
      </c>
      <c r="G6" s="5" t="s">
        <v>64</v>
      </c>
      <c r="H6" s="5" t="s">
        <v>88</v>
      </c>
      <c r="I6" s="5" t="s">
        <v>72</v>
      </c>
      <c r="J6" s="5" t="s">
        <v>74</v>
      </c>
      <c r="K6" s="5" t="s">
        <v>77</v>
      </c>
      <c r="L6" s="5" t="s">
        <v>79</v>
      </c>
    </row>
    <row r="7" spans="1:12" ht="22.5" customHeight="1" x14ac:dyDescent="0.2">
      <c r="A7" s="4">
        <v>46269.384830856477</v>
      </c>
      <c r="B7" s="5" t="s">
        <v>106</v>
      </c>
      <c r="C7" s="5" t="s">
        <v>51</v>
      </c>
      <c r="D7" s="5" t="s">
        <v>55</v>
      </c>
      <c r="E7" s="5" t="s">
        <v>59</v>
      </c>
      <c r="F7" s="5" t="s">
        <v>62</v>
      </c>
      <c r="G7" s="5" t="s">
        <v>64</v>
      </c>
      <c r="H7" s="5" t="s">
        <v>88</v>
      </c>
      <c r="I7" s="5" t="s">
        <v>105</v>
      </c>
      <c r="J7" s="5" t="s">
        <v>74</v>
      </c>
      <c r="K7" s="5" t="s">
        <v>77</v>
      </c>
      <c r="L7" s="5" t="s">
        <v>79</v>
      </c>
    </row>
    <row r="8" spans="1:12" ht="22.5" customHeight="1" x14ac:dyDescent="0.2">
      <c r="A8" s="4">
        <v>46269.526977349538</v>
      </c>
      <c r="B8" s="5" t="s">
        <v>117</v>
      </c>
      <c r="C8" s="5" t="s">
        <v>51</v>
      </c>
      <c r="D8" s="5" t="s">
        <v>55</v>
      </c>
      <c r="E8" s="5" t="s">
        <v>59</v>
      </c>
      <c r="F8" s="5" t="s">
        <v>62</v>
      </c>
      <c r="G8" s="5" t="s">
        <v>64</v>
      </c>
      <c r="H8" s="5" t="s">
        <v>88</v>
      </c>
      <c r="I8" s="5" t="s">
        <v>105</v>
      </c>
      <c r="J8" s="5" t="s">
        <v>74</v>
      </c>
      <c r="K8" s="5" t="s">
        <v>77</v>
      </c>
      <c r="L8" s="5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Leaderboard</vt:lpstr>
      <vt:lpstr>Pre-Season Predictions</vt:lpstr>
      <vt:lpstr>Week 0</vt:lpstr>
      <vt:lpstr>Week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Payne</dc:creator>
  <cp:lastModifiedBy>Brendan Payne</cp:lastModifiedBy>
  <dcterms:created xsi:type="dcterms:W3CDTF">2026-09-04T21:46:02Z</dcterms:created>
  <dcterms:modified xsi:type="dcterms:W3CDTF">2026-09-04T21:46:02Z</dcterms:modified>
</cp:coreProperties>
</file>